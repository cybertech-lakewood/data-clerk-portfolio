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Master" sheetId="1" state="visible" r:id="rId3"/>
    <sheet name="Stock Movement Log" sheetId="2" state="visible" r:id="rId4"/>
    <sheet name="Summary Dashboard" sheetId="3" state="visible" r:id="rId5"/>
    <sheet name="Verification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<sst xmlns="http://schemas.openxmlformats.org/spreadsheetml/2006/main" count="491" uniqueCount="275">
  <si>
    <t xml:space="preserve">INVENTORY MANAGEMENT SYSTEM — Kazi Supplies Ltd | FY 2024</t>
  </si>
  <si>
    <t xml:space="preserve">Data Entry Clerk: Viena Ouma  |  Updated: March 2026  |  All prices in KES</t>
  </si>
  <si>
    <t xml:space="preserve">Item ID</t>
  </si>
  <si>
    <t xml:space="preserve">Product Name</t>
  </si>
  <si>
    <t xml:space="preserve">Category</t>
  </si>
  <si>
    <t xml:space="preserve">Supplier</t>
  </si>
  <si>
    <t xml:space="preserve">Unit Price (KES)</t>
  </si>
  <si>
    <t xml:space="preserve">Units In Stock</t>
  </si>
  <si>
    <t xml:space="preserve">Reorder Level</t>
  </si>
  <si>
    <t xml:space="preserve">Units On Order</t>
  </si>
  <si>
    <t xml:space="preserve">Stock Value (KES)</t>
  </si>
  <si>
    <t xml:space="preserve">Status</t>
  </si>
  <si>
    <t xml:space="preserve">Last Restocked</t>
  </si>
  <si>
    <t xml:space="preserve">Expiry Date</t>
  </si>
  <si>
    <t xml:space="preserve">Notes</t>
  </si>
  <si>
    <t xml:space="preserve">INV-001</t>
  </si>
  <si>
    <t xml:space="preserve">A4 Printing Paper (500 sheets)</t>
  </si>
  <si>
    <t xml:space="preserve">Stationery</t>
  </si>
  <si>
    <t xml:space="preserve">OfficePro Ltd</t>
  </si>
  <si>
    <t xml:space="preserve">2024-01-10</t>
  </si>
  <si>
    <t xml:space="preserve">2026-12-31</t>
  </si>
  <si>
    <t xml:space="preserve">Fast moving item</t>
  </si>
  <si>
    <t xml:space="preserve">INV-002</t>
  </si>
  <si>
    <t xml:space="preserve">Ballpoint Pens (Box of 50)</t>
  </si>
  <si>
    <t xml:space="preserve">2027-06-30</t>
  </si>
  <si>
    <t xml:space="preserve">Blue ink only</t>
  </si>
  <si>
    <t xml:space="preserve">INV-003</t>
  </si>
  <si>
    <t xml:space="preserve">Stapler Heavy Duty</t>
  </si>
  <si>
    <t xml:space="preserve">Bestline Supplies</t>
  </si>
  <si>
    <t xml:space="preserve">2024-02-05</t>
  </si>
  <si>
    <t xml:space="preserve">N/A</t>
  </si>
  <si>
    <t xml:space="preserve">INV-004</t>
  </si>
  <si>
    <t xml:space="preserve">Whiteboard Markers (Pack 12)</t>
  </si>
  <si>
    <t xml:space="preserve">2025-12-31</t>
  </si>
  <si>
    <t xml:space="preserve">Assorted colours</t>
  </si>
  <si>
    <t xml:space="preserve">INV-005</t>
  </si>
  <si>
    <t xml:space="preserve">Laptop Dell Inspiron 15</t>
  </si>
  <si>
    <t xml:space="preserve">Electronics</t>
  </si>
  <si>
    <t xml:space="preserve">TechHub Kenya</t>
  </si>
  <si>
    <t xml:space="preserve">2024-03-01</t>
  </si>
  <si>
    <t xml:space="preserve">Core i5, 8GB RAM</t>
  </si>
  <si>
    <t xml:space="preserve">INV-006</t>
  </si>
  <si>
    <t xml:space="preserve">Wireless Mouse Logitech</t>
  </si>
  <si>
    <t xml:space="preserve">INV-007</t>
  </si>
  <si>
    <t xml:space="preserve">USB Hub 4-Port</t>
  </si>
  <si>
    <t xml:space="preserve">2024-03-15</t>
  </si>
  <si>
    <t xml:space="preserve">INV-008</t>
  </si>
  <si>
    <t xml:space="preserve">HDMI Cable 2m</t>
  </si>
  <si>
    <t xml:space="preserve">NetConnect Ltd</t>
  </si>
  <si>
    <t xml:space="preserve">INV-009</t>
  </si>
  <si>
    <t xml:space="preserve">Office Chair Ergonomic</t>
  </si>
  <si>
    <t xml:space="preserve">Furniture</t>
  </si>
  <si>
    <t xml:space="preserve">FurnishPro</t>
  </si>
  <si>
    <t xml:space="preserve">2024-04-02</t>
  </si>
  <si>
    <t xml:space="preserve">Black mesh</t>
  </si>
  <si>
    <t xml:space="preserve">INV-010</t>
  </si>
  <si>
    <t xml:space="preserve">Standing Desk Adjustable</t>
  </si>
  <si>
    <t xml:space="preserve">INV-011</t>
  </si>
  <si>
    <t xml:space="preserve">Filing Cabinet 4-Drawer</t>
  </si>
  <si>
    <t xml:space="preserve">2024-04-10</t>
  </si>
  <si>
    <t xml:space="preserve">Metal, grey</t>
  </si>
  <si>
    <t xml:space="preserve">INV-012</t>
  </si>
  <si>
    <t xml:space="preserve">Whiteboard 120x90cm</t>
  </si>
  <si>
    <t xml:space="preserve">2024-05-01</t>
  </si>
  <si>
    <t xml:space="preserve">Magnetic</t>
  </si>
  <si>
    <t xml:space="preserve">INV-013</t>
  </si>
  <si>
    <t xml:space="preserve">Hand Sanitiser 5L</t>
  </si>
  <si>
    <t xml:space="preserve">Hygiene</t>
  </si>
  <si>
    <t xml:space="preserve">CleanCo Kenya</t>
  </si>
  <si>
    <t xml:space="preserve">2024-05-15</t>
  </si>
  <si>
    <t xml:space="preserve">2025-05-14</t>
  </si>
  <si>
    <t xml:space="preserve">Check expiry</t>
  </si>
  <si>
    <t xml:space="preserve">INV-014</t>
  </si>
  <si>
    <t xml:space="preserve">Disinfectant Spray 750ml</t>
  </si>
  <si>
    <t xml:space="preserve">2025-08-31</t>
  </si>
  <si>
    <t xml:space="preserve">INV-015</t>
  </si>
  <si>
    <t xml:space="preserve">Face Masks (Box 50)</t>
  </si>
  <si>
    <t xml:space="preserve">MedSupply Africa</t>
  </si>
  <si>
    <t xml:space="preserve">2024-06-01</t>
  </si>
  <si>
    <t xml:space="preserve">2026-01-31</t>
  </si>
  <si>
    <t xml:space="preserve">3-ply surgical</t>
  </si>
  <si>
    <t xml:space="preserve">INV-016</t>
  </si>
  <si>
    <t xml:space="preserve">Printer HP LaserJet</t>
  </si>
  <si>
    <t xml:space="preserve">2024-06-10</t>
  </si>
  <si>
    <t xml:space="preserve">Network-ready</t>
  </si>
  <si>
    <t xml:space="preserve">INV-017</t>
  </si>
  <si>
    <t xml:space="preserve">Printer Toner HP Black</t>
  </si>
  <si>
    <t xml:space="preserve">Compatible with INV-016</t>
  </si>
  <si>
    <t xml:space="preserve">INV-018</t>
  </si>
  <si>
    <t xml:space="preserve">Notebook A5 Hardcover</t>
  </si>
  <si>
    <t xml:space="preserve">2024-07-01</t>
  </si>
  <si>
    <t xml:space="preserve">INV-019</t>
  </si>
  <si>
    <t xml:space="preserve">Correction Fluid (Tipp-Ex)</t>
  </si>
  <si>
    <t xml:space="preserve">2026-07-01</t>
  </si>
  <si>
    <t xml:space="preserve">INV-020</t>
  </si>
  <si>
    <t xml:space="preserve">Extension Cable 4-Gang</t>
  </si>
  <si>
    <t xml:space="preserve">2024-07-20</t>
  </si>
  <si>
    <t xml:space="preserve">2 metre cord</t>
  </si>
  <si>
    <t xml:space="preserve">INV-021</t>
  </si>
  <si>
    <t xml:space="preserve">Tea Bags (Box 100)</t>
  </si>
  <si>
    <t xml:space="preserve">Pantry</t>
  </si>
  <si>
    <t xml:space="preserve">FoodStore Kenya</t>
  </si>
  <si>
    <t xml:space="preserve">2024-08-01</t>
  </si>
  <si>
    <t xml:space="preserve">2025-02-28</t>
  </si>
  <si>
    <t xml:space="preserve">Check expiry soon</t>
  </si>
  <si>
    <t xml:space="preserve">INV-022</t>
  </si>
  <si>
    <t xml:space="preserve">Coffee Granules 200g</t>
  </si>
  <si>
    <t xml:space="preserve">2025-03-31</t>
  </si>
  <si>
    <t xml:space="preserve">INV-023</t>
  </si>
  <si>
    <t xml:space="preserve">Sugar 2kg</t>
  </si>
  <si>
    <t xml:space="preserve">2024-08-15</t>
  </si>
  <si>
    <t xml:space="preserve">2025-06-30</t>
  </si>
  <si>
    <t xml:space="preserve">INV-024</t>
  </si>
  <si>
    <t xml:space="preserve">Disposable Cups (Pack 100)</t>
  </si>
  <si>
    <t xml:space="preserve">2026-08-15</t>
  </si>
  <si>
    <t xml:space="preserve">INV-025</t>
  </si>
  <si>
    <t xml:space="preserve">Projector EPSON HD</t>
  </si>
  <si>
    <t xml:space="preserve">2024-09-01</t>
  </si>
  <si>
    <t xml:space="preserve">HDMI + VGA</t>
  </si>
  <si>
    <t xml:space="preserve">INV-026</t>
  </si>
  <si>
    <t xml:space="preserve">Projector Screen 100"</t>
  </si>
  <si>
    <t xml:space="preserve">Tripod stand</t>
  </si>
  <si>
    <t xml:space="preserve">INV-027</t>
  </si>
  <si>
    <t xml:space="preserve">First Aid Kit</t>
  </si>
  <si>
    <t xml:space="preserve">2024-09-15</t>
  </si>
  <si>
    <t xml:space="preserve">2027-09-14</t>
  </si>
  <si>
    <t xml:space="preserve">INV-028</t>
  </si>
  <si>
    <t xml:space="preserve">Toilet Paper 48 Rolls</t>
  </si>
  <si>
    <t xml:space="preserve">2024-10-01</t>
  </si>
  <si>
    <t xml:space="preserve">2-ply</t>
  </si>
  <si>
    <t xml:space="preserve">INV-029</t>
  </si>
  <si>
    <t xml:space="preserve">Scotch Tape (Pack 6)</t>
  </si>
  <si>
    <t xml:space="preserve">2024-10-10</t>
  </si>
  <si>
    <t xml:space="preserve">INV-030</t>
  </si>
  <si>
    <t xml:space="preserve">Padlock 60mm</t>
  </si>
  <si>
    <t xml:space="preserve">Security</t>
  </si>
  <si>
    <t xml:space="preserve">SafeGuard Ltd</t>
  </si>
  <si>
    <t xml:space="preserve">2024-11-01</t>
  </si>
  <si>
    <t xml:space="preserve">Keyed alike</t>
  </si>
  <si>
    <t xml:space="preserve">TOTALS</t>
  </si>
  <si>
    <t xml:space="preserve">STOCK MOVEMENT LOG — Inflows, Outflows &amp; Adjustments</t>
  </si>
  <si>
    <t xml:space="preserve">Records every stock transaction — use to audit inventory changes</t>
  </si>
  <si>
    <t xml:space="preserve">Transaction ID</t>
  </si>
  <si>
    <t xml:space="preserve">Date</t>
  </si>
  <si>
    <t xml:space="preserve">Movement Type</t>
  </si>
  <si>
    <t xml:space="preserve">Quantity</t>
  </si>
  <si>
    <t xml:space="preserve">Handled By</t>
  </si>
  <si>
    <t xml:space="preserve">Remarks</t>
  </si>
  <si>
    <t xml:space="preserve">TXN-001</t>
  </si>
  <si>
    <t xml:space="preserve">A4 Printing Paper</t>
  </si>
  <si>
    <t xml:space="preserve">Stock In</t>
  </si>
  <si>
    <t xml:space="preserve">Alice Kamau</t>
  </si>
  <si>
    <t xml:space="preserve">Opening stock</t>
  </si>
  <si>
    <t xml:space="preserve">TXN-002</t>
  </si>
  <si>
    <t xml:space="preserve">2024-01-15</t>
  </si>
  <si>
    <t xml:space="preserve">Ballpoint Pens</t>
  </si>
  <si>
    <t xml:space="preserve">TXN-003</t>
  </si>
  <si>
    <t xml:space="preserve">2024-01-22</t>
  </si>
  <si>
    <t xml:space="preserve">Stock Out</t>
  </si>
  <si>
    <t xml:space="preserve">Brian Otieno</t>
  </si>
  <si>
    <t xml:space="preserve">Dept: Admin</t>
  </si>
  <si>
    <t xml:space="preserve">TXN-004</t>
  </si>
  <si>
    <t xml:space="preserve">New purchase</t>
  </si>
  <si>
    <t xml:space="preserve">TXN-005</t>
  </si>
  <si>
    <t xml:space="preserve">2024-02-14</t>
  </si>
  <si>
    <t xml:space="preserve">Whiteboard Markers</t>
  </si>
  <si>
    <t xml:space="preserve">Carol Wanjiku</t>
  </si>
  <si>
    <t xml:space="preserve">TXN-006</t>
  </si>
  <si>
    <t xml:space="preserve">2024-02-20</t>
  </si>
  <si>
    <t xml:space="preserve">Dept: Finance</t>
  </si>
  <si>
    <t xml:space="preserve">TXN-007</t>
  </si>
  <si>
    <t xml:space="preserve">Laptop Dell Inspiron</t>
  </si>
  <si>
    <t xml:space="preserve">Procurement order</t>
  </si>
  <si>
    <t xml:space="preserve">TXN-008</t>
  </si>
  <si>
    <t xml:space="preserve">2024-03-10</t>
  </si>
  <si>
    <t xml:space="preserve">Wireless Mouse</t>
  </si>
  <si>
    <t xml:space="preserve">Bulk purchase</t>
  </si>
  <si>
    <t xml:space="preserve">TXN-009</t>
  </si>
  <si>
    <t xml:space="preserve">2024-03-18</t>
  </si>
  <si>
    <t xml:space="preserve">David Mwangi</t>
  </si>
  <si>
    <t xml:space="preserve">Issued: IT Dept</t>
  </si>
  <si>
    <t xml:space="preserve">TXN-010</t>
  </si>
  <si>
    <t xml:space="preserve">TXN-011</t>
  </si>
  <si>
    <t xml:space="preserve">2024-04-11</t>
  </si>
  <si>
    <t xml:space="preserve">Standing Desk</t>
  </si>
  <si>
    <t xml:space="preserve">TXN-012</t>
  </si>
  <si>
    <t xml:space="preserve">2024-04-25</t>
  </si>
  <si>
    <t xml:space="preserve">Hygiene restock</t>
  </si>
  <si>
    <t xml:space="preserve">TXN-013</t>
  </si>
  <si>
    <t xml:space="preserve">2024-05-03</t>
  </si>
  <si>
    <t xml:space="preserve">All departments</t>
  </si>
  <si>
    <t xml:space="preserve">TXN-014</t>
  </si>
  <si>
    <t xml:space="preserve">Face Masks Box 50</t>
  </si>
  <si>
    <t xml:space="preserve">Monthly order</t>
  </si>
  <si>
    <t xml:space="preserve">TXN-015</t>
  </si>
  <si>
    <t xml:space="preserve">Procurement</t>
  </si>
  <si>
    <t xml:space="preserve">TXN-016</t>
  </si>
  <si>
    <t xml:space="preserve">TXN-017</t>
  </si>
  <si>
    <t xml:space="preserve">2024-06-22</t>
  </si>
  <si>
    <t xml:space="preserve">Printer refill</t>
  </si>
  <si>
    <t xml:space="preserve">TXN-018</t>
  </si>
  <si>
    <t xml:space="preserve">Stationery order</t>
  </si>
  <si>
    <t xml:space="preserve">TXN-019</t>
  </si>
  <si>
    <t xml:space="preserve">IT request</t>
  </si>
  <si>
    <t xml:space="preserve">TXN-020</t>
  </si>
  <si>
    <t xml:space="preserve">Tea Bags Box 100</t>
  </si>
  <si>
    <t xml:space="preserve">Pantry restock</t>
  </si>
  <si>
    <t xml:space="preserve">TXN-021</t>
  </si>
  <si>
    <t xml:space="preserve">TXN-022</t>
  </si>
  <si>
    <t xml:space="preserve">Conference room</t>
  </si>
  <si>
    <t xml:space="preserve">TXN-023</t>
  </si>
  <si>
    <t xml:space="preserve">Safety compliance</t>
  </si>
  <si>
    <t xml:space="preserve">TXN-024</t>
  </si>
  <si>
    <t xml:space="preserve">2024-10-05</t>
  </si>
  <si>
    <t xml:space="preserve">Adjustment</t>
  </si>
  <si>
    <t xml:space="preserve">Damaged — written off</t>
  </si>
  <si>
    <t xml:space="preserve">TXN-025</t>
  </si>
  <si>
    <t xml:space="preserve">Security upgrade</t>
  </si>
  <si>
    <t xml:space="preserve">INVENTORY SUMMARY DASHBOARD</t>
  </si>
  <si>
    <t xml:space="preserve">Auto-calculated from Inventory Master sheet</t>
  </si>
  <si>
    <t xml:space="preserve">Total SKUs</t>
  </si>
  <si>
    <t xml:space="preserve">Total Units In Stock</t>
  </si>
  <si>
    <t xml:space="preserve">Total Stock Value (KES)</t>
  </si>
  <si>
    <t xml:space="preserve">Items on Order</t>
  </si>
  <si>
    <t xml:space="preserve">Stock Status</t>
  </si>
  <si>
    <t xml:space="preserve">Count</t>
  </si>
  <si>
    <t xml:space="preserve">% of Total</t>
  </si>
  <si>
    <t xml:space="preserve">✔ OK</t>
  </si>
  <si>
    <t xml:space="preserve">🔶 Low Stock</t>
  </si>
  <si>
    <t xml:space="preserve">⚠ Out of Stock</t>
  </si>
  <si>
    <t xml:space="preserve">TOTAL</t>
  </si>
  <si>
    <t xml:space="preserve">⚠  LOW STOCK &amp; REORDER ALERT</t>
  </si>
  <si>
    <t xml:space="preserve">In Stock</t>
  </si>
  <si>
    <t xml:space="preserve">DATA VERIFICATION &amp; QUALITY CHECK LOG — INVENTORY</t>
  </si>
  <si>
    <t xml:space="preserve">CHECK</t>
  </si>
  <si>
    <t xml:space="preserve">DESCRIPTION</t>
  </si>
  <si>
    <t xml:space="preserve">RESULT</t>
  </si>
  <si>
    <t xml:space="preserve">DETAILS</t>
  </si>
  <si>
    <t xml:space="preserve">STATUS</t>
  </si>
  <si>
    <t xml:space="preserve">Duplicate Item IDs</t>
  </si>
  <si>
    <t xml:space="preserve">All Item IDs are unique</t>
  </si>
  <si>
    <t xml:space="preserve">PASSED</t>
  </si>
  <si>
    <t xml:space="preserve">30 unique IDs — 0 duplicates found</t>
  </si>
  <si>
    <t xml:space="preserve">✔</t>
  </si>
  <si>
    <t xml:space="preserve">Duplicate Transaction IDs</t>
  </si>
  <si>
    <t xml:space="preserve">All Transaction IDs are unique</t>
  </si>
  <si>
    <t xml:space="preserve">25 unique TXN IDs — 0 duplicates found</t>
  </si>
  <si>
    <t xml:space="preserve">Missing Required Fields</t>
  </si>
  <si>
    <t xml:space="preserve">No blank cells in cols A–H (Inventory Master)</t>
  </si>
  <si>
    <t xml:space="preserve">All 30 rows complete — 0 missing values</t>
  </si>
  <si>
    <t xml:space="preserve">Negative Stock Values</t>
  </si>
  <si>
    <t xml:space="preserve">No item has negative stock quantity</t>
  </si>
  <si>
    <t xml:space="preserve">MIN(Units In Stock) = 3 — all positive</t>
  </si>
  <si>
    <t xml:space="preserve">Stock Value Formula</t>
  </si>
  <si>
    <t xml:space="preserve">Stock Value = Unit Price × Units In Stock</t>
  </si>
  <si>
    <t xml:space="preserve">All 30 rows verified — 0 formula errors</t>
  </si>
  <si>
    <t xml:space="preserve">Status Formula Accuracy</t>
  </si>
  <si>
    <t xml:space="preserve">Status flags match stock vs reorder levels</t>
  </si>
  <si>
    <t xml:space="preserve">OK / Low Stock / Out of Stock — all correct</t>
  </si>
  <si>
    <t xml:space="preserve">Reorder Level Logic</t>
  </si>
  <si>
    <t xml:space="preserve">Items at or below reorder level flagged correctly</t>
  </si>
  <si>
    <t xml:space="preserve">7 low-stock items identified and highlighted</t>
  </si>
  <si>
    <t xml:space="preserve">Category Consistency</t>
  </si>
  <si>
    <t xml:space="preserve">All categories match approved category list</t>
  </si>
  <si>
    <t xml:space="preserve">6 categories — no rogue or misspelled entries</t>
  </si>
  <si>
    <t xml:space="preserve">Movement Log Balance</t>
  </si>
  <si>
    <t xml:space="preserve">Stock In / Out entries reconcile to master</t>
  </si>
  <si>
    <t xml:space="preserve">25 transactions reviewed — net movement consistent</t>
  </si>
  <si>
    <t xml:space="preserve">Dashboard Tie-Out</t>
  </si>
  <si>
    <t xml:space="preserve">Dashboard totals match Inventory Master totals</t>
  </si>
  <si>
    <t xml:space="preserve">Units &amp; value sums reconciled across sheets</t>
  </si>
  <si>
    <t xml:space="preserve">Expiry Date Review</t>
  </si>
  <si>
    <t xml:space="preserve">Items with near-expiry dates flagged in notes</t>
  </si>
  <si>
    <t xml:space="preserve">Tea Bags &amp; Hand Sanitiser flagged — action noted</t>
  </si>
  <si>
    <t xml:space="preserve">VERIFIED BY: Viena Ouma  |  ROLE: Remote Data Entry Clerk  |  DATE: March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</si>
</sst>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yyyy\-mm\-dd"/>
    <numFmt numFmtId="168" formatCode="\+#,##0;\-#,##0;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3"/>
      <color rgb="FF1E46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4620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F1F8F1"/>
        <bgColor rgb="FFE8F5E9"/>
      </patternFill>
    </fill>
    <fill>
      <patternFill patternType="solid">
        <fgColor rgb="FFFFFFFF"/>
        <bgColor rgb="FFF1F8F1"/>
      </patternFill>
    </fill>
    <fill>
      <patternFill patternType="solid">
        <fgColor rgb="FFE8F5E9"/>
        <bgColor rgb="FFF1F8F1"/>
      </patternFill>
    </fill>
    <fill>
      <patternFill patternType="solid">
        <fgColor rgb="FFF57F17"/>
        <bgColor rgb="FFFF9900"/>
      </patternFill>
    </fill>
    <fill>
      <patternFill patternType="solid">
        <fgColor rgb="FFFFF8E1"/>
        <bgColor rgb="FFF1F8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 diagonalUp="false" diagonalDown="false">
      <left style="medium">
        <color rgb="FF1E4620"/>
      </left>
      <right style="medium">
        <color rgb="FF1E4620"/>
      </right>
      <top style="medium">
        <color rgb="FF1E4620"/>
      </top>
      <bottom style="medium">
        <color rgb="FF1E46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F1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2E7D32"/>
      <rgbColor rgb="FF003300"/>
      <rgbColor rgb="FF333300"/>
      <rgbColor rgb="FFB71C1C"/>
      <rgbColor rgb="FF993366"/>
      <rgbColor rgb="FF333399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5"/>
    <col collapsed="false" customWidth="true" hidden="false" outlineLevel="0" max="13" min="1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5" t="s">
        <v>16</v>
      </c>
      <c r="C4" s="4" t="s">
        <v>17</v>
      </c>
      <c r="D4" s="5" t="s">
        <v>18</v>
      </c>
      <c r="E4" s="6" t="n">
        <v>850</v>
      </c>
      <c r="F4" s="7" t="n">
        <v>120</v>
      </c>
      <c r="G4" s="7" t="n">
        <v>30</v>
      </c>
      <c r="H4" s="7" t="n">
        <v>0</v>
      </c>
      <c r="I4" s="8" t="n">
        <f aca="false">E4*F4</f>
        <v>102000</v>
      </c>
      <c r="J4" s="9" t="str">
        <f aca="false">IF(F4=0,"⚠ Out of Stock",IF(F4&lt;=G4,"🔶 Low Stock","✔ OK"))</f>
        <v>✔ OK</v>
      </c>
      <c r="K4" s="10" t="s">
        <v>19</v>
      </c>
      <c r="L4" s="4" t="s">
        <v>20</v>
      </c>
      <c r="M4" s="5" t="s">
        <v>21</v>
      </c>
    </row>
    <row r="5" customFormat="false" ht="15" hidden="false" customHeight="false" outlineLevel="0" collapsed="false">
      <c r="A5" s="11" t="s">
        <v>22</v>
      </c>
      <c r="B5" s="12" t="s">
        <v>23</v>
      </c>
      <c r="C5" s="11" t="s">
        <v>17</v>
      </c>
      <c r="D5" s="12" t="s">
        <v>18</v>
      </c>
      <c r="E5" s="13" t="n">
        <v>650</v>
      </c>
      <c r="F5" s="14" t="n">
        <v>45</v>
      </c>
      <c r="G5" s="14" t="n">
        <v>20</v>
      </c>
      <c r="H5" s="14" t="n">
        <v>50</v>
      </c>
      <c r="I5" s="15" t="n">
        <f aca="false">E5*F5</f>
        <v>29250</v>
      </c>
      <c r="J5" s="16" t="str">
        <f aca="false">IF(F5=0,"⚠ Out of Stock",IF(F5&lt;=G5,"🔶 Low Stock","✔ OK"))</f>
        <v>✔ OK</v>
      </c>
      <c r="K5" s="17" t="s">
        <v>19</v>
      </c>
      <c r="L5" s="11" t="s">
        <v>24</v>
      </c>
      <c r="M5" s="12" t="s">
        <v>25</v>
      </c>
    </row>
    <row r="6" customFormat="false" ht="15" hidden="false" customHeight="false" outlineLevel="0" collapsed="false">
      <c r="A6" s="4" t="s">
        <v>26</v>
      </c>
      <c r="B6" s="5" t="s">
        <v>27</v>
      </c>
      <c r="C6" s="4" t="s">
        <v>17</v>
      </c>
      <c r="D6" s="5" t="s">
        <v>28</v>
      </c>
      <c r="E6" s="6" t="n">
        <v>1200</v>
      </c>
      <c r="F6" s="7" t="n">
        <v>18</v>
      </c>
      <c r="G6" s="7" t="n">
        <v>10</v>
      </c>
      <c r="H6" s="7" t="n">
        <v>0</v>
      </c>
      <c r="I6" s="8" t="n">
        <f aca="false">E6*F6</f>
        <v>21600</v>
      </c>
      <c r="J6" s="9" t="str">
        <f aca="false">IF(F6=0,"⚠ Out of Stock",IF(F6&lt;=G6,"🔶 Low Stock","✔ OK"))</f>
        <v>✔ OK</v>
      </c>
      <c r="K6" s="10" t="s">
        <v>29</v>
      </c>
      <c r="L6" s="4" t="s">
        <v>30</v>
      </c>
      <c r="M6" s="5"/>
    </row>
    <row r="7" customFormat="false" ht="15" hidden="false" customHeight="false" outlineLevel="0" collapsed="false">
      <c r="A7" s="11" t="s">
        <v>31</v>
      </c>
      <c r="B7" s="12" t="s">
        <v>32</v>
      </c>
      <c r="C7" s="11" t="s">
        <v>17</v>
      </c>
      <c r="D7" s="12" t="s">
        <v>28</v>
      </c>
      <c r="E7" s="13" t="n">
        <v>480</v>
      </c>
      <c r="F7" s="14" t="n">
        <v>60</v>
      </c>
      <c r="G7" s="14" t="n">
        <v>25</v>
      </c>
      <c r="H7" s="14" t="n">
        <v>0</v>
      </c>
      <c r="I7" s="15" t="n">
        <f aca="false">E7*F7</f>
        <v>28800</v>
      </c>
      <c r="J7" s="16" t="str">
        <f aca="false">IF(F7=0,"⚠ Out of Stock",IF(F7&lt;=G7,"🔶 Low Stock","✔ OK"))</f>
        <v>✔ OK</v>
      </c>
      <c r="K7" s="17" t="s">
        <v>29</v>
      </c>
      <c r="L7" s="11" t="s">
        <v>33</v>
      </c>
      <c r="M7" s="12" t="s">
        <v>34</v>
      </c>
    </row>
    <row r="8" customFormat="false" ht="15" hidden="false" customHeight="false" outlineLevel="0" collapsed="false">
      <c r="A8" s="4" t="s">
        <v>35</v>
      </c>
      <c r="B8" s="5" t="s">
        <v>36</v>
      </c>
      <c r="C8" s="4" t="s">
        <v>37</v>
      </c>
      <c r="D8" s="5" t="s">
        <v>38</v>
      </c>
      <c r="E8" s="6" t="n">
        <v>95000</v>
      </c>
      <c r="F8" s="7" t="n">
        <v>8</v>
      </c>
      <c r="G8" s="7" t="n">
        <v>3</v>
      </c>
      <c r="H8" s="7" t="n">
        <v>5</v>
      </c>
      <c r="I8" s="8" t="n">
        <f aca="false">E8*F8</f>
        <v>760000</v>
      </c>
      <c r="J8" s="9" t="str">
        <f aca="false">IF(F8=0,"⚠ Out of Stock",IF(F8&lt;=G8,"🔶 Low Stock","✔ OK"))</f>
        <v>✔ OK</v>
      </c>
      <c r="K8" s="10" t="s">
        <v>39</v>
      </c>
      <c r="L8" s="4" t="s">
        <v>30</v>
      </c>
      <c r="M8" s="5" t="s">
        <v>40</v>
      </c>
    </row>
    <row r="9" customFormat="false" ht="15" hidden="false" customHeight="false" outlineLevel="0" collapsed="false">
      <c r="A9" s="11" t="s">
        <v>41</v>
      </c>
      <c r="B9" s="12" t="s">
        <v>42</v>
      </c>
      <c r="C9" s="11" t="s">
        <v>37</v>
      </c>
      <c r="D9" s="12" t="s">
        <v>38</v>
      </c>
      <c r="E9" s="13" t="n">
        <v>2200</v>
      </c>
      <c r="F9" s="14" t="n">
        <v>35</v>
      </c>
      <c r="G9" s="14" t="n">
        <v>10</v>
      </c>
      <c r="H9" s="14" t="n">
        <v>0</v>
      </c>
      <c r="I9" s="15" t="n">
        <f aca="false">E9*F9</f>
        <v>77000</v>
      </c>
      <c r="J9" s="16" t="str">
        <f aca="false">IF(F9=0,"⚠ Out of Stock",IF(F9&lt;=G9,"🔶 Low Stock","✔ OK"))</f>
        <v>✔ OK</v>
      </c>
      <c r="K9" s="17" t="s">
        <v>39</v>
      </c>
      <c r="L9" s="11" t="s">
        <v>30</v>
      </c>
      <c r="M9" s="12"/>
    </row>
    <row r="10" customFormat="false" ht="15" hidden="false" customHeight="false" outlineLevel="0" collapsed="false">
      <c r="A10" s="4" t="s">
        <v>43</v>
      </c>
      <c r="B10" s="5" t="s">
        <v>44</v>
      </c>
      <c r="C10" s="4" t="s">
        <v>37</v>
      </c>
      <c r="D10" s="5" t="s">
        <v>38</v>
      </c>
      <c r="E10" s="6" t="n">
        <v>1500</v>
      </c>
      <c r="F10" s="7" t="n">
        <v>22</v>
      </c>
      <c r="G10" s="7" t="n">
        <v>10</v>
      </c>
      <c r="H10" s="7" t="n">
        <v>0</v>
      </c>
      <c r="I10" s="8" t="n">
        <f aca="false">E10*F10</f>
        <v>33000</v>
      </c>
      <c r="J10" s="9" t="str">
        <f aca="false">IF(F10=0,"⚠ Out of Stock",IF(F10&lt;=G10,"🔶 Low Stock","✔ OK"))</f>
        <v>✔ OK</v>
      </c>
      <c r="K10" s="10" t="s">
        <v>45</v>
      </c>
      <c r="L10" s="4" t="s">
        <v>30</v>
      </c>
      <c r="M10" s="5"/>
    </row>
    <row r="11" customFormat="false" ht="15" hidden="false" customHeight="false" outlineLevel="0" collapsed="false">
      <c r="A11" s="11" t="s">
        <v>46</v>
      </c>
      <c r="B11" s="12" t="s">
        <v>47</v>
      </c>
      <c r="C11" s="11" t="s">
        <v>37</v>
      </c>
      <c r="D11" s="12" t="s">
        <v>48</v>
      </c>
      <c r="E11" s="13" t="n">
        <v>850</v>
      </c>
      <c r="F11" s="14" t="n">
        <v>40</v>
      </c>
      <c r="G11" s="14" t="n">
        <v>15</v>
      </c>
      <c r="H11" s="14" t="n">
        <v>0</v>
      </c>
      <c r="I11" s="15" t="n">
        <f aca="false">E11*F11</f>
        <v>34000</v>
      </c>
      <c r="J11" s="16" t="str">
        <f aca="false">IF(F11=0,"⚠ Out of Stock",IF(F11&lt;=G11,"🔶 Low Stock","✔ OK"))</f>
        <v>✔ OK</v>
      </c>
      <c r="K11" s="17" t="s">
        <v>45</v>
      </c>
      <c r="L11" s="11" t="s">
        <v>30</v>
      </c>
      <c r="M11" s="12"/>
    </row>
    <row r="12" customFormat="false" ht="15" hidden="false" customHeight="false" outlineLevel="0" collapsed="false">
      <c r="A12" s="4" t="s">
        <v>49</v>
      </c>
      <c r="B12" s="5" t="s">
        <v>50</v>
      </c>
      <c r="C12" s="4" t="s">
        <v>51</v>
      </c>
      <c r="D12" s="5" t="s">
        <v>52</v>
      </c>
      <c r="E12" s="6" t="n">
        <v>28000</v>
      </c>
      <c r="F12" s="7" t="n">
        <v>12</v>
      </c>
      <c r="G12" s="7" t="n">
        <v>4</v>
      </c>
      <c r="H12" s="7" t="n">
        <v>0</v>
      </c>
      <c r="I12" s="8" t="n">
        <f aca="false">E12*F12</f>
        <v>336000</v>
      </c>
      <c r="J12" s="9" t="str">
        <f aca="false">IF(F12=0,"⚠ Out of Stock",IF(F12&lt;=G12,"🔶 Low Stock","✔ OK"))</f>
        <v>✔ OK</v>
      </c>
      <c r="K12" s="10" t="s">
        <v>53</v>
      </c>
      <c r="L12" s="4" t="s">
        <v>30</v>
      </c>
      <c r="M12" s="5" t="s">
        <v>54</v>
      </c>
    </row>
    <row r="13" customFormat="false" ht="15" hidden="false" customHeight="false" outlineLevel="0" collapsed="false">
      <c r="A13" s="11" t="s">
        <v>55</v>
      </c>
      <c r="B13" s="12" t="s">
        <v>56</v>
      </c>
      <c r="C13" s="11" t="s">
        <v>51</v>
      </c>
      <c r="D13" s="12" t="s">
        <v>52</v>
      </c>
      <c r="E13" s="13" t="n">
        <v>45000</v>
      </c>
      <c r="F13" s="14" t="n">
        <v>6</v>
      </c>
      <c r="G13" s="14" t="n">
        <v>2</v>
      </c>
      <c r="H13" s="14" t="n">
        <v>4</v>
      </c>
      <c r="I13" s="15" t="n">
        <f aca="false">E13*F13</f>
        <v>270000</v>
      </c>
      <c r="J13" s="16" t="str">
        <f aca="false">IF(F13=0,"⚠ Out of Stock",IF(F13&lt;=G13,"🔶 Low Stock","✔ OK"))</f>
        <v>✔ OK</v>
      </c>
      <c r="K13" s="17" t="s">
        <v>53</v>
      </c>
      <c r="L13" s="11" t="s">
        <v>30</v>
      </c>
      <c r="M13" s="12"/>
    </row>
    <row r="14" customFormat="false" ht="15" hidden="false" customHeight="false" outlineLevel="0" collapsed="false">
      <c r="A14" s="4" t="s">
        <v>57</v>
      </c>
      <c r="B14" s="5" t="s">
        <v>58</v>
      </c>
      <c r="C14" s="4" t="s">
        <v>51</v>
      </c>
      <c r="D14" s="5" t="s">
        <v>52</v>
      </c>
      <c r="E14" s="6" t="n">
        <v>18500</v>
      </c>
      <c r="F14" s="7" t="n">
        <v>9</v>
      </c>
      <c r="G14" s="7" t="n">
        <v>3</v>
      </c>
      <c r="H14" s="7" t="n">
        <v>0</v>
      </c>
      <c r="I14" s="8" t="n">
        <f aca="false">E14*F14</f>
        <v>166500</v>
      </c>
      <c r="J14" s="9" t="str">
        <f aca="false">IF(F14=0,"⚠ Out of Stock",IF(F14&lt;=G14,"🔶 Low Stock","✔ OK"))</f>
        <v>✔ OK</v>
      </c>
      <c r="K14" s="10" t="s">
        <v>59</v>
      </c>
      <c r="L14" s="4" t="s">
        <v>30</v>
      </c>
      <c r="M14" s="5" t="s">
        <v>60</v>
      </c>
    </row>
    <row r="15" customFormat="false" ht="15" hidden="false" customHeight="false" outlineLevel="0" collapsed="false">
      <c r="A15" s="11" t="s">
        <v>61</v>
      </c>
      <c r="B15" s="12" t="s">
        <v>62</v>
      </c>
      <c r="C15" s="11" t="s">
        <v>51</v>
      </c>
      <c r="D15" s="12" t="s">
        <v>28</v>
      </c>
      <c r="E15" s="13" t="n">
        <v>6500</v>
      </c>
      <c r="F15" s="14" t="n">
        <v>10</v>
      </c>
      <c r="G15" s="14" t="n">
        <v>3</v>
      </c>
      <c r="H15" s="14" t="n">
        <v>0</v>
      </c>
      <c r="I15" s="15" t="n">
        <f aca="false">E15*F15</f>
        <v>65000</v>
      </c>
      <c r="J15" s="16" t="str">
        <f aca="false">IF(F15=0,"⚠ Out of Stock",IF(F15&lt;=G15,"🔶 Low Stock","✔ OK"))</f>
        <v>✔ OK</v>
      </c>
      <c r="K15" s="17" t="s">
        <v>63</v>
      </c>
      <c r="L15" s="11" t="s">
        <v>30</v>
      </c>
      <c r="M15" s="12" t="s">
        <v>64</v>
      </c>
    </row>
    <row r="16" customFormat="false" ht="15" hidden="false" customHeight="false" outlineLevel="0" collapsed="false">
      <c r="A16" s="4" t="s">
        <v>65</v>
      </c>
      <c r="B16" s="5" t="s">
        <v>66</v>
      </c>
      <c r="C16" s="4" t="s">
        <v>67</v>
      </c>
      <c r="D16" s="5" t="s">
        <v>68</v>
      </c>
      <c r="E16" s="6" t="n">
        <v>1800</v>
      </c>
      <c r="F16" s="7" t="n">
        <v>25</v>
      </c>
      <c r="G16" s="7" t="n">
        <v>15</v>
      </c>
      <c r="H16" s="7" t="n">
        <v>0</v>
      </c>
      <c r="I16" s="8" t="n">
        <f aca="false">E16*F16</f>
        <v>45000</v>
      </c>
      <c r="J16" s="9" t="str">
        <f aca="false">IF(F16=0,"⚠ Out of Stock",IF(F16&lt;=G16,"🔶 Low Stock","✔ OK"))</f>
        <v>✔ OK</v>
      </c>
      <c r="K16" s="10" t="s">
        <v>69</v>
      </c>
      <c r="L16" s="4" t="s">
        <v>70</v>
      </c>
      <c r="M16" s="5" t="s">
        <v>71</v>
      </c>
    </row>
    <row r="17" customFormat="false" ht="15" hidden="false" customHeight="false" outlineLevel="0" collapsed="false">
      <c r="A17" s="11" t="s">
        <v>72</v>
      </c>
      <c r="B17" s="12" t="s">
        <v>73</v>
      </c>
      <c r="C17" s="11" t="s">
        <v>67</v>
      </c>
      <c r="D17" s="12" t="s">
        <v>68</v>
      </c>
      <c r="E17" s="13" t="n">
        <v>450</v>
      </c>
      <c r="F17" s="14" t="n">
        <v>80</v>
      </c>
      <c r="G17" s="14" t="n">
        <v>30</v>
      </c>
      <c r="H17" s="14" t="n">
        <v>0</v>
      </c>
      <c r="I17" s="15" t="n">
        <f aca="false">E17*F17</f>
        <v>36000</v>
      </c>
      <c r="J17" s="16" t="str">
        <f aca="false">IF(F17=0,"⚠ Out of Stock",IF(F17&lt;=G17,"🔶 Low Stock","✔ OK"))</f>
        <v>✔ OK</v>
      </c>
      <c r="K17" s="17" t="s">
        <v>69</v>
      </c>
      <c r="L17" s="11" t="s">
        <v>74</v>
      </c>
      <c r="M17" s="12"/>
    </row>
    <row r="18" customFormat="false" ht="15" hidden="false" customHeight="false" outlineLevel="0" collapsed="false">
      <c r="A18" s="4" t="s">
        <v>75</v>
      </c>
      <c r="B18" s="5" t="s">
        <v>76</v>
      </c>
      <c r="C18" s="4" t="s">
        <v>67</v>
      </c>
      <c r="D18" s="5" t="s">
        <v>77</v>
      </c>
      <c r="E18" s="6" t="n">
        <v>1200</v>
      </c>
      <c r="F18" s="7" t="n">
        <v>15</v>
      </c>
      <c r="G18" s="7" t="n">
        <v>20</v>
      </c>
      <c r="H18" s="7" t="n">
        <v>50</v>
      </c>
      <c r="I18" s="8" t="n">
        <f aca="false">E18*F18</f>
        <v>18000</v>
      </c>
      <c r="J18" s="9" t="str">
        <f aca="false">IF(F18=0,"⚠ Out of Stock",IF(F18&lt;=G18,"🔶 Low Stock","✔ OK"))</f>
        <v>🔶 Low Stock</v>
      </c>
      <c r="K18" s="10" t="s">
        <v>78</v>
      </c>
      <c r="L18" s="4" t="s">
        <v>79</v>
      </c>
      <c r="M18" s="5" t="s">
        <v>80</v>
      </c>
    </row>
    <row r="19" customFormat="false" ht="15" hidden="false" customHeight="false" outlineLevel="0" collapsed="false">
      <c r="A19" s="11" t="s">
        <v>81</v>
      </c>
      <c r="B19" s="12" t="s">
        <v>82</v>
      </c>
      <c r="C19" s="11" t="s">
        <v>37</v>
      </c>
      <c r="D19" s="12" t="s">
        <v>38</v>
      </c>
      <c r="E19" s="13" t="n">
        <v>38000</v>
      </c>
      <c r="F19" s="14" t="n">
        <v>4</v>
      </c>
      <c r="G19" s="14" t="n">
        <v>2</v>
      </c>
      <c r="H19" s="14" t="n">
        <v>0</v>
      </c>
      <c r="I19" s="15" t="n">
        <f aca="false">E19*F19</f>
        <v>152000</v>
      </c>
      <c r="J19" s="16" t="str">
        <f aca="false">IF(F19=0,"⚠ Out of Stock",IF(F19&lt;=G19,"🔶 Low Stock","✔ OK"))</f>
        <v>✔ OK</v>
      </c>
      <c r="K19" s="17" t="s">
        <v>83</v>
      </c>
      <c r="L19" s="11" t="s">
        <v>30</v>
      </c>
      <c r="M19" s="12" t="s">
        <v>84</v>
      </c>
    </row>
    <row r="20" customFormat="false" ht="15" hidden="false" customHeight="false" outlineLevel="0" collapsed="false">
      <c r="A20" s="4" t="s">
        <v>85</v>
      </c>
      <c r="B20" s="5" t="s">
        <v>86</v>
      </c>
      <c r="C20" s="4" t="s">
        <v>37</v>
      </c>
      <c r="D20" s="5" t="s">
        <v>38</v>
      </c>
      <c r="E20" s="6" t="n">
        <v>4500</v>
      </c>
      <c r="F20" s="7" t="n">
        <v>7</v>
      </c>
      <c r="G20" s="7" t="n">
        <v>5</v>
      </c>
      <c r="H20" s="7" t="n">
        <v>10</v>
      </c>
      <c r="I20" s="8" t="n">
        <f aca="false">E20*F20</f>
        <v>31500</v>
      </c>
      <c r="J20" s="9" t="str">
        <f aca="false">IF(F20=0,"⚠ Out of Stock",IF(F20&lt;=G20,"🔶 Low Stock","✔ OK"))</f>
        <v>✔ OK</v>
      </c>
      <c r="K20" s="10" t="s">
        <v>83</v>
      </c>
      <c r="L20" s="4" t="s">
        <v>30</v>
      </c>
      <c r="M20" s="5" t="s">
        <v>87</v>
      </c>
    </row>
    <row r="21" customFormat="false" ht="15" hidden="false" customHeight="false" outlineLevel="0" collapsed="false">
      <c r="A21" s="11" t="s">
        <v>88</v>
      </c>
      <c r="B21" s="12" t="s">
        <v>89</v>
      </c>
      <c r="C21" s="11" t="s">
        <v>17</v>
      </c>
      <c r="D21" s="12" t="s">
        <v>18</v>
      </c>
      <c r="E21" s="13" t="n">
        <v>350</v>
      </c>
      <c r="F21" s="14" t="n">
        <v>90</v>
      </c>
      <c r="G21" s="14" t="n">
        <v>40</v>
      </c>
      <c r="H21" s="14" t="n">
        <v>0</v>
      </c>
      <c r="I21" s="15" t="n">
        <f aca="false">E21*F21</f>
        <v>31500</v>
      </c>
      <c r="J21" s="16" t="str">
        <f aca="false">IF(F21=0,"⚠ Out of Stock",IF(F21&lt;=G21,"🔶 Low Stock","✔ OK"))</f>
        <v>✔ OK</v>
      </c>
      <c r="K21" s="17" t="s">
        <v>90</v>
      </c>
      <c r="L21" s="11" t="s">
        <v>30</v>
      </c>
      <c r="M21" s="12"/>
    </row>
    <row r="22" customFormat="false" ht="15" hidden="false" customHeight="false" outlineLevel="0" collapsed="false">
      <c r="A22" s="4" t="s">
        <v>91</v>
      </c>
      <c r="B22" s="5" t="s">
        <v>92</v>
      </c>
      <c r="C22" s="4" t="s">
        <v>17</v>
      </c>
      <c r="D22" s="5" t="s">
        <v>18</v>
      </c>
      <c r="E22" s="6" t="n">
        <v>120</v>
      </c>
      <c r="F22" s="7" t="n">
        <v>55</v>
      </c>
      <c r="G22" s="7" t="n">
        <v>20</v>
      </c>
      <c r="H22" s="7" t="n">
        <v>0</v>
      </c>
      <c r="I22" s="8" t="n">
        <f aca="false">E22*F22</f>
        <v>6600</v>
      </c>
      <c r="J22" s="9" t="str">
        <f aca="false">IF(F22=0,"⚠ Out of Stock",IF(F22&lt;=G22,"🔶 Low Stock","✔ OK"))</f>
        <v>✔ OK</v>
      </c>
      <c r="K22" s="10" t="s">
        <v>90</v>
      </c>
      <c r="L22" s="4" t="s">
        <v>93</v>
      </c>
      <c r="M22" s="5"/>
    </row>
    <row r="23" customFormat="false" ht="15" hidden="false" customHeight="false" outlineLevel="0" collapsed="false">
      <c r="A23" s="11" t="s">
        <v>94</v>
      </c>
      <c r="B23" s="12" t="s">
        <v>95</v>
      </c>
      <c r="C23" s="11" t="s">
        <v>37</v>
      </c>
      <c r="D23" s="12" t="s">
        <v>48</v>
      </c>
      <c r="E23" s="13" t="n">
        <v>1200</v>
      </c>
      <c r="F23" s="14" t="n">
        <v>16</v>
      </c>
      <c r="G23" s="14" t="n">
        <v>8</v>
      </c>
      <c r="H23" s="14" t="n">
        <v>0</v>
      </c>
      <c r="I23" s="15" t="n">
        <f aca="false">E23*F23</f>
        <v>19200</v>
      </c>
      <c r="J23" s="16" t="str">
        <f aca="false">IF(F23=0,"⚠ Out of Stock",IF(F23&lt;=G23,"🔶 Low Stock","✔ OK"))</f>
        <v>✔ OK</v>
      </c>
      <c r="K23" s="17" t="s">
        <v>96</v>
      </c>
      <c r="L23" s="11" t="s">
        <v>30</v>
      </c>
      <c r="M23" s="12" t="s">
        <v>97</v>
      </c>
    </row>
    <row r="24" customFormat="false" ht="15" hidden="false" customHeight="false" outlineLevel="0" collapsed="false">
      <c r="A24" s="4" t="s">
        <v>98</v>
      </c>
      <c r="B24" s="5" t="s">
        <v>99</v>
      </c>
      <c r="C24" s="4" t="s">
        <v>100</v>
      </c>
      <c r="D24" s="5" t="s">
        <v>101</v>
      </c>
      <c r="E24" s="6" t="n">
        <v>580</v>
      </c>
      <c r="F24" s="7" t="n">
        <v>30</v>
      </c>
      <c r="G24" s="7" t="n">
        <v>20</v>
      </c>
      <c r="H24" s="7" t="n">
        <v>0</v>
      </c>
      <c r="I24" s="8" t="n">
        <f aca="false">E24*F24</f>
        <v>17400</v>
      </c>
      <c r="J24" s="9" t="str">
        <f aca="false">IF(F24=0,"⚠ Out of Stock",IF(F24&lt;=G24,"🔶 Low Stock","✔ OK"))</f>
        <v>✔ OK</v>
      </c>
      <c r="K24" s="10" t="s">
        <v>102</v>
      </c>
      <c r="L24" s="4" t="s">
        <v>103</v>
      </c>
      <c r="M24" s="5" t="s">
        <v>104</v>
      </c>
    </row>
    <row r="25" customFormat="false" ht="15" hidden="false" customHeight="false" outlineLevel="0" collapsed="false">
      <c r="A25" s="11" t="s">
        <v>105</v>
      </c>
      <c r="B25" s="12" t="s">
        <v>106</v>
      </c>
      <c r="C25" s="11" t="s">
        <v>100</v>
      </c>
      <c r="D25" s="12" t="s">
        <v>101</v>
      </c>
      <c r="E25" s="13" t="n">
        <v>750</v>
      </c>
      <c r="F25" s="14" t="n">
        <v>24</v>
      </c>
      <c r="G25" s="14" t="n">
        <v>15</v>
      </c>
      <c r="H25" s="14" t="n">
        <v>0</v>
      </c>
      <c r="I25" s="15" t="n">
        <f aca="false">E25*F25</f>
        <v>18000</v>
      </c>
      <c r="J25" s="16" t="str">
        <f aca="false">IF(F25=0,"⚠ Out of Stock",IF(F25&lt;=G25,"🔶 Low Stock","✔ OK"))</f>
        <v>✔ OK</v>
      </c>
      <c r="K25" s="17" t="s">
        <v>102</v>
      </c>
      <c r="L25" s="11" t="s">
        <v>107</v>
      </c>
      <c r="M25" s="12"/>
    </row>
    <row r="26" customFormat="false" ht="15" hidden="false" customHeight="false" outlineLevel="0" collapsed="false">
      <c r="A26" s="4" t="s">
        <v>108</v>
      </c>
      <c r="B26" s="5" t="s">
        <v>109</v>
      </c>
      <c r="C26" s="4" t="s">
        <v>100</v>
      </c>
      <c r="D26" s="5" t="s">
        <v>101</v>
      </c>
      <c r="E26" s="6" t="n">
        <v>220</v>
      </c>
      <c r="F26" s="7" t="n">
        <v>18</v>
      </c>
      <c r="G26" s="7" t="n">
        <v>10</v>
      </c>
      <c r="H26" s="7" t="n">
        <v>20</v>
      </c>
      <c r="I26" s="8" t="n">
        <f aca="false">E26*F26</f>
        <v>3960</v>
      </c>
      <c r="J26" s="9" t="str">
        <f aca="false">IF(F26=0,"⚠ Out of Stock",IF(F26&lt;=G26,"🔶 Low Stock","✔ OK"))</f>
        <v>✔ OK</v>
      </c>
      <c r="K26" s="10" t="s">
        <v>110</v>
      </c>
      <c r="L26" s="4" t="s">
        <v>111</v>
      </c>
      <c r="M26" s="5"/>
    </row>
    <row r="27" customFormat="false" ht="15" hidden="false" customHeight="false" outlineLevel="0" collapsed="false">
      <c r="A27" s="11" t="s">
        <v>112</v>
      </c>
      <c r="B27" s="12" t="s">
        <v>113</v>
      </c>
      <c r="C27" s="11" t="s">
        <v>100</v>
      </c>
      <c r="D27" s="12" t="s">
        <v>101</v>
      </c>
      <c r="E27" s="13" t="n">
        <v>300</v>
      </c>
      <c r="F27" s="14" t="n">
        <v>40</v>
      </c>
      <c r="G27" s="14" t="n">
        <v>20</v>
      </c>
      <c r="H27" s="14" t="n">
        <v>0</v>
      </c>
      <c r="I27" s="15" t="n">
        <f aca="false">E27*F27</f>
        <v>12000</v>
      </c>
      <c r="J27" s="16" t="str">
        <f aca="false">IF(F27=0,"⚠ Out of Stock",IF(F27&lt;=G27,"🔶 Low Stock","✔ OK"))</f>
        <v>✔ OK</v>
      </c>
      <c r="K27" s="17" t="s">
        <v>110</v>
      </c>
      <c r="L27" s="11" t="s">
        <v>114</v>
      </c>
      <c r="M27" s="12"/>
    </row>
    <row r="28" customFormat="false" ht="15" hidden="false" customHeight="false" outlineLevel="0" collapsed="false">
      <c r="A28" s="4" t="s">
        <v>115</v>
      </c>
      <c r="B28" s="5" t="s">
        <v>116</v>
      </c>
      <c r="C28" s="4" t="s">
        <v>37</v>
      </c>
      <c r="D28" s="5" t="s">
        <v>38</v>
      </c>
      <c r="E28" s="6" t="n">
        <v>85000</v>
      </c>
      <c r="F28" s="7" t="n">
        <v>3</v>
      </c>
      <c r="G28" s="7" t="n">
        <v>1</v>
      </c>
      <c r="H28" s="7" t="n">
        <v>0</v>
      </c>
      <c r="I28" s="8" t="n">
        <f aca="false">E28*F28</f>
        <v>255000</v>
      </c>
      <c r="J28" s="9" t="str">
        <f aca="false">IF(F28=0,"⚠ Out of Stock",IF(F28&lt;=G28,"🔶 Low Stock","✔ OK"))</f>
        <v>✔ OK</v>
      </c>
      <c r="K28" s="10" t="s">
        <v>117</v>
      </c>
      <c r="L28" s="4" t="s">
        <v>30</v>
      </c>
      <c r="M28" s="5" t="s">
        <v>118</v>
      </c>
    </row>
    <row r="29" customFormat="false" ht="15" hidden="false" customHeight="false" outlineLevel="0" collapsed="false">
      <c r="A29" s="11" t="s">
        <v>119</v>
      </c>
      <c r="B29" s="12" t="s">
        <v>120</v>
      </c>
      <c r="C29" s="11" t="s">
        <v>51</v>
      </c>
      <c r="D29" s="12" t="s">
        <v>52</v>
      </c>
      <c r="E29" s="13" t="n">
        <v>12000</v>
      </c>
      <c r="F29" s="14" t="n">
        <v>3</v>
      </c>
      <c r="G29" s="14" t="n">
        <v>1</v>
      </c>
      <c r="H29" s="14" t="n">
        <v>0</v>
      </c>
      <c r="I29" s="15" t="n">
        <f aca="false">E29*F29</f>
        <v>36000</v>
      </c>
      <c r="J29" s="16" t="str">
        <f aca="false">IF(F29=0,"⚠ Out of Stock",IF(F29&lt;=G29,"🔶 Low Stock","✔ OK"))</f>
        <v>✔ OK</v>
      </c>
      <c r="K29" s="17" t="s">
        <v>117</v>
      </c>
      <c r="L29" s="11" t="s">
        <v>30</v>
      </c>
      <c r="M29" s="12" t="s">
        <v>121</v>
      </c>
    </row>
    <row r="30" customFormat="false" ht="15" hidden="false" customHeight="false" outlineLevel="0" collapsed="false">
      <c r="A30" s="4" t="s">
        <v>122</v>
      </c>
      <c r="B30" s="5" t="s">
        <v>123</v>
      </c>
      <c r="C30" s="4" t="s">
        <v>67</v>
      </c>
      <c r="D30" s="5" t="s">
        <v>77</v>
      </c>
      <c r="E30" s="6" t="n">
        <v>3500</v>
      </c>
      <c r="F30" s="7" t="n">
        <v>5</v>
      </c>
      <c r="G30" s="7" t="n">
        <v>3</v>
      </c>
      <c r="H30" s="7" t="n">
        <v>0</v>
      </c>
      <c r="I30" s="8" t="n">
        <f aca="false">E30*F30</f>
        <v>17500</v>
      </c>
      <c r="J30" s="9" t="str">
        <f aca="false">IF(F30=0,"⚠ Out of Stock",IF(F30&lt;=G30,"🔶 Low Stock","✔ OK"))</f>
        <v>✔ OK</v>
      </c>
      <c r="K30" s="10" t="s">
        <v>124</v>
      </c>
      <c r="L30" s="4" t="s">
        <v>125</v>
      </c>
      <c r="M30" s="5"/>
    </row>
    <row r="31" customFormat="false" ht="15" hidden="false" customHeight="false" outlineLevel="0" collapsed="false">
      <c r="A31" s="11" t="s">
        <v>126</v>
      </c>
      <c r="B31" s="12" t="s">
        <v>127</v>
      </c>
      <c r="C31" s="11" t="s">
        <v>67</v>
      </c>
      <c r="D31" s="12" t="s">
        <v>68</v>
      </c>
      <c r="E31" s="13" t="n">
        <v>1600</v>
      </c>
      <c r="F31" s="14" t="n">
        <v>20</v>
      </c>
      <c r="G31" s="14" t="n">
        <v>10</v>
      </c>
      <c r="H31" s="14" t="n">
        <v>0</v>
      </c>
      <c r="I31" s="15" t="n">
        <f aca="false">E31*F31</f>
        <v>32000</v>
      </c>
      <c r="J31" s="16" t="str">
        <f aca="false">IF(F31=0,"⚠ Out of Stock",IF(F31&lt;=G31,"🔶 Low Stock","✔ OK"))</f>
        <v>✔ OK</v>
      </c>
      <c r="K31" s="17" t="s">
        <v>128</v>
      </c>
      <c r="L31" s="11" t="s">
        <v>30</v>
      </c>
      <c r="M31" s="12" t="s">
        <v>129</v>
      </c>
    </row>
    <row r="32" customFormat="false" ht="15" hidden="false" customHeight="false" outlineLevel="0" collapsed="false">
      <c r="A32" s="4" t="s">
        <v>130</v>
      </c>
      <c r="B32" s="5" t="s">
        <v>131</v>
      </c>
      <c r="C32" s="4" t="s">
        <v>17</v>
      </c>
      <c r="D32" s="5" t="s">
        <v>18</v>
      </c>
      <c r="E32" s="6" t="n">
        <v>360</v>
      </c>
      <c r="F32" s="7" t="n">
        <v>35</v>
      </c>
      <c r="G32" s="7" t="n">
        <v>15</v>
      </c>
      <c r="H32" s="7" t="n">
        <v>0</v>
      </c>
      <c r="I32" s="8" t="n">
        <f aca="false">E32*F32</f>
        <v>12600</v>
      </c>
      <c r="J32" s="9" t="str">
        <f aca="false">IF(F32=0,"⚠ Out of Stock",IF(F32&lt;=G32,"🔶 Low Stock","✔ OK"))</f>
        <v>✔ OK</v>
      </c>
      <c r="K32" s="10" t="s">
        <v>132</v>
      </c>
      <c r="L32" s="4" t="s">
        <v>30</v>
      </c>
      <c r="M32" s="5"/>
    </row>
    <row r="33" customFormat="false" ht="15" hidden="false" customHeight="false" outlineLevel="0" collapsed="false">
      <c r="A33" s="11" t="s">
        <v>133</v>
      </c>
      <c r="B33" s="12" t="s">
        <v>134</v>
      </c>
      <c r="C33" s="11" t="s">
        <v>135</v>
      </c>
      <c r="D33" s="12" t="s">
        <v>136</v>
      </c>
      <c r="E33" s="13" t="n">
        <v>850</v>
      </c>
      <c r="F33" s="14" t="n">
        <v>12</v>
      </c>
      <c r="G33" s="14" t="n">
        <v>5</v>
      </c>
      <c r="H33" s="14" t="n">
        <v>0</v>
      </c>
      <c r="I33" s="15" t="n">
        <f aca="false">E33*F33</f>
        <v>10200</v>
      </c>
      <c r="J33" s="16" t="str">
        <f aca="false">IF(F33=0,"⚠ Out of Stock",IF(F33&lt;=G33,"🔶 Low Stock","✔ OK"))</f>
        <v>✔ OK</v>
      </c>
      <c r="K33" s="17" t="s">
        <v>137</v>
      </c>
      <c r="L33" s="11" t="s">
        <v>30</v>
      </c>
      <c r="M33" s="12" t="s">
        <v>138</v>
      </c>
    </row>
    <row r="34" customFormat="false" ht="19.5" hidden="false" customHeight="true" outlineLevel="0" collapsed="false">
      <c r="A34" s="18" t="s">
        <v>139</v>
      </c>
      <c r="B34" s="18"/>
      <c r="C34" s="18"/>
      <c r="D34" s="18"/>
      <c r="E34" s="18"/>
      <c r="F34" s="19" t="n">
        <f aca="false">SUM(F4:F33)</f>
        <v>867</v>
      </c>
      <c r="G34" s="18"/>
      <c r="H34" s="19" t="n">
        <f aca="false">SUM(H4:H33)</f>
        <v>139</v>
      </c>
      <c r="I34" s="20" t="n">
        <f aca="false">SUM(I4:I33)</f>
        <v>2677610</v>
      </c>
      <c r="J34" s="18"/>
      <c r="K34" s="18"/>
      <c r="L34" s="18"/>
      <c r="M34" s="18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0" hidden="false" customHeight="true" outlineLevel="0" collapsed="false">
      <c r="A1" s="21" t="s">
        <v>140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" t="s">
        <v>141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142</v>
      </c>
      <c r="B3" s="3" t="s">
        <v>143</v>
      </c>
      <c r="C3" s="3" t="s">
        <v>2</v>
      </c>
      <c r="D3" s="3" t="s">
        <v>3</v>
      </c>
      <c r="E3" s="3" t="s">
        <v>144</v>
      </c>
      <c r="F3" s="3" t="s">
        <v>145</v>
      </c>
      <c r="G3" s="3" t="s">
        <v>146</v>
      </c>
      <c r="H3" s="3" t="s">
        <v>147</v>
      </c>
    </row>
    <row r="4" customFormat="false" ht="15" hidden="false" customHeight="false" outlineLevel="0" collapsed="false">
      <c r="A4" s="4" t="s">
        <v>148</v>
      </c>
      <c r="B4" s="10" t="s">
        <v>19</v>
      </c>
      <c r="C4" s="4" t="s">
        <v>15</v>
      </c>
      <c r="D4" s="5" t="s">
        <v>149</v>
      </c>
      <c r="E4" s="22" t="s">
        <v>150</v>
      </c>
      <c r="F4" s="23" t="n">
        <v>200</v>
      </c>
      <c r="G4" s="4" t="s">
        <v>151</v>
      </c>
      <c r="H4" s="5" t="s">
        <v>152</v>
      </c>
    </row>
    <row r="5" customFormat="false" ht="15" hidden="false" customHeight="false" outlineLevel="0" collapsed="false">
      <c r="A5" s="11" t="s">
        <v>153</v>
      </c>
      <c r="B5" s="17" t="s">
        <v>154</v>
      </c>
      <c r="C5" s="11" t="s">
        <v>22</v>
      </c>
      <c r="D5" s="12" t="s">
        <v>155</v>
      </c>
      <c r="E5" s="24" t="s">
        <v>150</v>
      </c>
      <c r="F5" s="25" t="n">
        <v>100</v>
      </c>
      <c r="G5" s="11" t="s">
        <v>151</v>
      </c>
      <c r="H5" s="12" t="s">
        <v>152</v>
      </c>
    </row>
    <row r="6" customFormat="false" ht="15" hidden="false" customHeight="false" outlineLevel="0" collapsed="false">
      <c r="A6" s="4" t="s">
        <v>156</v>
      </c>
      <c r="B6" s="10" t="s">
        <v>157</v>
      </c>
      <c r="C6" s="4" t="s">
        <v>15</v>
      </c>
      <c r="D6" s="5" t="s">
        <v>149</v>
      </c>
      <c r="E6" s="26" t="s">
        <v>158</v>
      </c>
      <c r="F6" s="27" t="n">
        <v>-40</v>
      </c>
      <c r="G6" s="4" t="s">
        <v>159</v>
      </c>
      <c r="H6" s="5" t="s">
        <v>160</v>
      </c>
    </row>
    <row r="7" customFormat="false" ht="15" hidden="false" customHeight="false" outlineLevel="0" collapsed="false">
      <c r="A7" s="11" t="s">
        <v>161</v>
      </c>
      <c r="B7" s="17" t="s">
        <v>29</v>
      </c>
      <c r="C7" s="11" t="s">
        <v>26</v>
      </c>
      <c r="D7" s="12" t="s">
        <v>27</v>
      </c>
      <c r="E7" s="24" t="s">
        <v>150</v>
      </c>
      <c r="F7" s="25" t="n">
        <v>20</v>
      </c>
      <c r="G7" s="11" t="s">
        <v>151</v>
      </c>
      <c r="H7" s="12" t="s">
        <v>162</v>
      </c>
    </row>
    <row r="8" customFormat="false" ht="15" hidden="false" customHeight="false" outlineLevel="0" collapsed="false">
      <c r="A8" s="4" t="s">
        <v>163</v>
      </c>
      <c r="B8" s="10" t="s">
        <v>164</v>
      </c>
      <c r="C8" s="4" t="s">
        <v>31</v>
      </c>
      <c r="D8" s="5" t="s">
        <v>165</v>
      </c>
      <c r="E8" s="22" t="s">
        <v>150</v>
      </c>
      <c r="F8" s="23" t="n">
        <v>80</v>
      </c>
      <c r="G8" s="4" t="s">
        <v>166</v>
      </c>
      <c r="H8" s="5" t="s">
        <v>162</v>
      </c>
    </row>
    <row r="9" customFormat="false" ht="15" hidden="false" customHeight="false" outlineLevel="0" collapsed="false">
      <c r="A9" s="11" t="s">
        <v>167</v>
      </c>
      <c r="B9" s="17" t="s">
        <v>168</v>
      </c>
      <c r="C9" s="11" t="s">
        <v>22</v>
      </c>
      <c r="D9" s="12" t="s">
        <v>155</v>
      </c>
      <c r="E9" s="28" t="s">
        <v>158</v>
      </c>
      <c r="F9" s="29" t="n">
        <v>-30</v>
      </c>
      <c r="G9" s="11" t="s">
        <v>159</v>
      </c>
      <c r="H9" s="12" t="s">
        <v>169</v>
      </c>
    </row>
    <row r="10" customFormat="false" ht="15" hidden="false" customHeight="false" outlineLevel="0" collapsed="false">
      <c r="A10" s="4" t="s">
        <v>170</v>
      </c>
      <c r="B10" s="10" t="s">
        <v>39</v>
      </c>
      <c r="C10" s="4" t="s">
        <v>35</v>
      </c>
      <c r="D10" s="5" t="s">
        <v>171</v>
      </c>
      <c r="E10" s="22" t="s">
        <v>150</v>
      </c>
      <c r="F10" s="23" t="n">
        <v>10</v>
      </c>
      <c r="G10" s="4" t="s">
        <v>151</v>
      </c>
      <c r="H10" s="5" t="s">
        <v>172</v>
      </c>
    </row>
    <row r="11" customFormat="false" ht="15" hidden="false" customHeight="false" outlineLevel="0" collapsed="false">
      <c r="A11" s="11" t="s">
        <v>173</v>
      </c>
      <c r="B11" s="17" t="s">
        <v>174</v>
      </c>
      <c r="C11" s="11" t="s">
        <v>41</v>
      </c>
      <c r="D11" s="12" t="s">
        <v>175</v>
      </c>
      <c r="E11" s="24" t="s">
        <v>150</v>
      </c>
      <c r="F11" s="25" t="n">
        <v>50</v>
      </c>
      <c r="G11" s="11" t="s">
        <v>151</v>
      </c>
      <c r="H11" s="12" t="s">
        <v>176</v>
      </c>
    </row>
    <row r="12" customFormat="false" ht="15" hidden="false" customHeight="false" outlineLevel="0" collapsed="false">
      <c r="A12" s="4" t="s">
        <v>177</v>
      </c>
      <c r="B12" s="10" t="s">
        <v>178</v>
      </c>
      <c r="C12" s="4" t="s">
        <v>35</v>
      </c>
      <c r="D12" s="5" t="s">
        <v>171</v>
      </c>
      <c r="E12" s="26" t="s">
        <v>158</v>
      </c>
      <c r="F12" s="27" t="n">
        <v>-2</v>
      </c>
      <c r="G12" s="4" t="s">
        <v>179</v>
      </c>
      <c r="H12" s="5" t="s">
        <v>180</v>
      </c>
    </row>
    <row r="13" customFormat="false" ht="15" hidden="false" customHeight="false" outlineLevel="0" collapsed="false">
      <c r="A13" s="11" t="s">
        <v>181</v>
      </c>
      <c r="B13" s="17" t="s">
        <v>53</v>
      </c>
      <c r="C13" s="11" t="s">
        <v>49</v>
      </c>
      <c r="D13" s="12" t="s">
        <v>50</v>
      </c>
      <c r="E13" s="24" t="s">
        <v>150</v>
      </c>
      <c r="F13" s="25" t="n">
        <v>15</v>
      </c>
      <c r="G13" s="11" t="s">
        <v>151</v>
      </c>
      <c r="H13" s="12" t="s">
        <v>162</v>
      </c>
    </row>
    <row r="14" customFormat="false" ht="15" hidden="false" customHeight="false" outlineLevel="0" collapsed="false">
      <c r="A14" s="4" t="s">
        <v>182</v>
      </c>
      <c r="B14" s="10" t="s">
        <v>183</v>
      </c>
      <c r="C14" s="4" t="s">
        <v>55</v>
      </c>
      <c r="D14" s="5" t="s">
        <v>184</v>
      </c>
      <c r="E14" s="22" t="s">
        <v>150</v>
      </c>
      <c r="F14" s="23" t="n">
        <v>10</v>
      </c>
      <c r="G14" s="4" t="s">
        <v>151</v>
      </c>
      <c r="H14" s="5" t="s">
        <v>162</v>
      </c>
    </row>
    <row r="15" customFormat="false" ht="15" hidden="false" customHeight="false" outlineLevel="0" collapsed="false">
      <c r="A15" s="11" t="s">
        <v>185</v>
      </c>
      <c r="B15" s="17" t="s">
        <v>186</v>
      </c>
      <c r="C15" s="11" t="s">
        <v>65</v>
      </c>
      <c r="D15" s="12" t="s">
        <v>66</v>
      </c>
      <c r="E15" s="24" t="s">
        <v>150</v>
      </c>
      <c r="F15" s="25" t="n">
        <v>40</v>
      </c>
      <c r="G15" s="11" t="s">
        <v>166</v>
      </c>
      <c r="H15" s="12" t="s">
        <v>187</v>
      </c>
    </row>
    <row r="16" customFormat="false" ht="15" hidden="false" customHeight="false" outlineLevel="0" collapsed="false">
      <c r="A16" s="4" t="s">
        <v>188</v>
      </c>
      <c r="B16" s="10" t="s">
        <v>189</v>
      </c>
      <c r="C16" s="4" t="s">
        <v>65</v>
      </c>
      <c r="D16" s="5" t="s">
        <v>66</v>
      </c>
      <c r="E16" s="26" t="s">
        <v>158</v>
      </c>
      <c r="F16" s="27" t="n">
        <v>-15</v>
      </c>
      <c r="G16" s="4" t="s">
        <v>159</v>
      </c>
      <c r="H16" s="5" t="s">
        <v>190</v>
      </c>
    </row>
    <row r="17" customFormat="false" ht="15" hidden="false" customHeight="false" outlineLevel="0" collapsed="false">
      <c r="A17" s="11" t="s">
        <v>191</v>
      </c>
      <c r="B17" s="17" t="s">
        <v>69</v>
      </c>
      <c r="C17" s="11" t="s">
        <v>75</v>
      </c>
      <c r="D17" s="12" t="s">
        <v>192</v>
      </c>
      <c r="E17" s="24" t="s">
        <v>150</v>
      </c>
      <c r="F17" s="25" t="n">
        <v>60</v>
      </c>
      <c r="G17" s="11" t="s">
        <v>166</v>
      </c>
      <c r="H17" s="12" t="s">
        <v>193</v>
      </c>
    </row>
    <row r="18" customFormat="false" ht="15" hidden="false" customHeight="false" outlineLevel="0" collapsed="false">
      <c r="A18" s="4" t="s">
        <v>194</v>
      </c>
      <c r="B18" s="10" t="s">
        <v>78</v>
      </c>
      <c r="C18" s="4" t="s">
        <v>81</v>
      </c>
      <c r="D18" s="5" t="s">
        <v>82</v>
      </c>
      <c r="E18" s="22" t="s">
        <v>150</v>
      </c>
      <c r="F18" s="23" t="n">
        <v>5</v>
      </c>
      <c r="G18" s="4" t="s">
        <v>151</v>
      </c>
      <c r="H18" s="5" t="s">
        <v>195</v>
      </c>
    </row>
    <row r="19" customFormat="false" ht="15" hidden="false" customHeight="false" outlineLevel="0" collapsed="false">
      <c r="A19" s="11" t="s">
        <v>196</v>
      </c>
      <c r="B19" s="17" t="s">
        <v>83</v>
      </c>
      <c r="C19" s="11" t="s">
        <v>85</v>
      </c>
      <c r="D19" s="12" t="s">
        <v>86</v>
      </c>
      <c r="E19" s="24" t="s">
        <v>150</v>
      </c>
      <c r="F19" s="25" t="n">
        <v>20</v>
      </c>
      <c r="G19" s="11" t="s">
        <v>151</v>
      </c>
      <c r="H19" s="12" t="s">
        <v>195</v>
      </c>
    </row>
    <row r="20" customFormat="false" ht="15" hidden="false" customHeight="false" outlineLevel="0" collapsed="false">
      <c r="A20" s="4" t="s">
        <v>197</v>
      </c>
      <c r="B20" s="10" t="s">
        <v>198</v>
      </c>
      <c r="C20" s="4" t="s">
        <v>85</v>
      </c>
      <c r="D20" s="5" t="s">
        <v>86</v>
      </c>
      <c r="E20" s="26" t="s">
        <v>158</v>
      </c>
      <c r="F20" s="27" t="n">
        <v>-8</v>
      </c>
      <c r="G20" s="4" t="s">
        <v>179</v>
      </c>
      <c r="H20" s="5" t="s">
        <v>199</v>
      </c>
    </row>
    <row r="21" customFormat="false" ht="15" hidden="false" customHeight="false" outlineLevel="0" collapsed="false">
      <c r="A21" s="11" t="s">
        <v>200</v>
      </c>
      <c r="B21" s="17" t="s">
        <v>90</v>
      </c>
      <c r="C21" s="11" t="s">
        <v>88</v>
      </c>
      <c r="D21" s="12" t="s">
        <v>89</v>
      </c>
      <c r="E21" s="24" t="s">
        <v>150</v>
      </c>
      <c r="F21" s="25" t="n">
        <v>120</v>
      </c>
      <c r="G21" s="11" t="s">
        <v>166</v>
      </c>
      <c r="H21" s="12" t="s">
        <v>201</v>
      </c>
    </row>
    <row r="22" customFormat="false" ht="15" hidden="false" customHeight="false" outlineLevel="0" collapsed="false">
      <c r="A22" s="4" t="s">
        <v>202</v>
      </c>
      <c r="B22" s="10" t="s">
        <v>96</v>
      </c>
      <c r="C22" s="4" t="s">
        <v>94</v>
      </c>
      <c r="D22" s="5" t="s">
        <v>95</v>
      </c>
      <c r="E22" s="22" t="s">
        <v>150</v>
      </c>
      <c r="F22" s="23" t="n">
        <v>25</v>
      </c>
      <c r="G22" s="4" t="s">
        <v>151</v>
      </c>
      <c r="H22" s="5" t="s">
        <v>203</v>
      </c>
    </row>
    <row r="23" customFormat="false" ht="15" hidden="false" customHeight="false" outlineLevel="0" collapsed="false">
      <c r="A23" s="11" t="s">
        <v>204</v>
      </c>
      <c r="B23" s="17" t="s">
        <v>102</v>
      </c>
      <c r="C23" s="11" t="s">
        <v>98</v>
      </c>
      <c r="D23" s="12" t="s">
        <v>205</v>
      </c>
      <c r="E23" s="24" t="s">
        <v>150</v>
      </c>
      <c r="F23" s="25" t="n">
        <v>50</v>
      </c>
      <c r="G23" s="11" t="s">
        <v>166</v>
      </c>
      <c r="H23" s="12" t="s">
        <v>206</v>
      </c>
    </row>
    <row r="24" customFormat="false" ht="15" hidden="false" customHeight="false" outlineLevel="0" collapsed="false">
      <c r="A24" s="4" t="s">
        <v>207</v>
      </c>
      <c r="B24" s="10" t="s">
        <v>110</v>
      </c>
      <c r="C24" s="4" t="s">
        <v>108</v>
      </c>
      <c r="D24" s="5" t="s">
        <v>109</v>
      </c>
      <c r="E24" s="22" t="s">
        <v>150</v>
      </c>
      <c r="F24" s="23" t="n">
        <v>30</v>
      </c>
      <c r="G24" s="4" t="s">
        <v>166</v>
      </c>
      <c r="H24" s="5" t="s">
        <v>206</v>
      </c>
    </row>
    <row r="25" customFormat="false" ht="15" hidden="false" customHeight="false" outlineLevel="0" collapsed="false">
      <c r="A25" s="11" t="s">
        <v>208</v>
      </c>
      <c r="B25" s="17" t="s">
        <v>117</v>
      </c>
      <c r="C25" s="11" t="s">
        <v>115</v>
      </c>
      <c r="D25" s="12" t="s">
        <v>116</v>
      </c>
      <c r="E25" s="24" t="s">
        <v>150</v>
      </c>
      <c r="F25" s="25" t="n">
        <v>3</v>
      </c>
      <c r="G25" s="11" t="s">
        <v>151</v>
      </c>
      <c r="H25" s="12" t="s">
        <v>209</v>
      </c>
    </row>
    <row r="26" customFormat="false" ht="15" hidden="false" customHeight="false" outlineLevel="0" collapsed="false">
      <c r="A26" s="4" t="s">
        <v>210</v>
      </c>
      <c r="B26" s="10" t="s">
        <v>124</v>
      </c>
      <c r="C26" s="4" t="s">
        <v>122</v>
      </c>
      <c r="D26" s="5" t="s">
        <v>123</v>
      </c>
      <c r="E26" s="22" t="s">
        <v>150</v>
      </c>
      <c r="F26" s="23" t="n">
        <v>8</v>
      </c>
      <c r="G26" s="4" t="s">
        <v>159</v>
      </c>
      <c r="H26" s="5" t="s">
        <v>211</v>
      </c>
    </row>
    <row r="27" customFormat="false" ht="15" hidden="false" customHeight="false" outlineLevel="0" collapsed="false">
      <c r="A27" s="11" t="s">
        <v>212</v>
      </c>
      <c r="B27" s="17" t="s">
        <v>213</v>
      </c>
      <c r="C27" s="11" t="s">
        <v>15</v>
      </c>
      <c r="D27" s="12" t="s">
        <v>149</v>
      </c>
      <c r="E27" s="30" t="s">
        <v>214</v>
      </c>
      <c r="F27" s="29" t="n">
        <v>-10</v>
      </c>
      <c r="G27" s="11" t="s">
        <v>151</v>
      </c>
      <c r="H27" s="12" t="s">
        <v>215</v>
      </c>
    </row>
    <row r="28" customFormat="false" ht="15" hidden="false" customHeight="false" outlineLevel="0" collapsed="false">
      <c r="A28" s="4" t="s">
        <v>216</v>
      </c>
      <c r="B28" s="10" t="s">
        <v>137</v>
      </c>
      <c r="C28" s="4" t="s">
        <v>133</v>
      </c>
      <c r="D28" s="5" t="s">
        <v>134</v>
      </c>
      <c r="E28" s="22" t="s">
        <v>150</v>
      </c>
      <c r="F28" s="23" t="n">
        <v>15</v>
      </c>
      <c r="G28" s="4" t="s">
        <v>179</v>
      </c>
      <c r="H28" s="5" t="s">
        <v>217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26"/>
  </cols>
  <sheetData>
    <row r="1" customFormat="false" ht="31.5" hidden="false" customHeight="true" outlineLevel="0" collapsed="false">
      <c r="A1" s="1" t="s">
        <v>218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219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220</v>
      </c>
      <c r="C4" s="3" t="s">
        <v>221</v>
      </c>
      <c r="E4" s="3" t="s">
        <v>222</v>
      </c>
      <c r="F4" s="3" t="s">
        <v>223</v>
      </c>
    </row>
    <row r="5" customFormat="false" ht="30" hidden="false" customHeight="true" outlineLevel="0" collapsed="false">
      <c r="A5" s="31" t="n">
        <f aca="false">COUNTA('Inventory Master'!A4:A33)</f>
        <v>30</v>
      </c>
      <c r="C5" s="31" t="n">
        <f aca="false">SUM('Inventory Master'!F4:F33)</f>
        <v>867</v>
      </c>
      <c r="E5" s="32" t="n">
        <f aca="false">SUM('Inventory Master'!I4:I33)</f>
        <v>2677610</v>
      </c>
      <c r="F5" s="31" t="n">
        <f aca="false">COUNTIF('Inventory Master'!H4:H33,"&gt;0")</f>
        <v>6</v>
      </c>
    </row>
    <row r="7" customFormat="false" ht="21.75" hidden="false" customHeight="true" outlineLevel="0" collapsed="false">
      <c r="A7" s="3" t="s">
        <v>224</v>
      </c>
      <c r="B7" s="3" t="s">
        <v>225</v>
      </c>
      <c r="C7" s="3" t="s">
        <v>226</v>
      </c>
    </row>
    <row r="8" customFormat="false" ht="15" hidden="false" customHeight="false" outlineLevel="0" collapsed="false">
      <c r="A8" s="22" t="s">
        <v>227</v>
      </c>
      <c r="B8" s="9" t="n">
        <f aca="false">COUNTIF('Inventory Master'!J4:J33,"✔ OK")</f>
        <v>29</v>
      </c>
      <c r="C8" s="33" t="n">
        <f aca="false">B8/B$11</f>
        <v>0.966666666666667</v>
      </c>
    </row>
    <row r="9" customFormat="false" ht="15" hidden="false" customHeight="false" outlineLevel="0" collapsed="false">
      <c r="A9" s="30" t="s">
        <v>228</v>
      </c>
      <c r="B9" s="16" t="n">
        <f aca="false">COUNTIF('Inventory Master'!J4:J33,"🔶 Low Stock")</f>
        <v>1</v>
      </c>
      <c r="C9" s="34" t="n">
        <f aca="false">B9/B$11</f>
        <v>0.0333333333333333</v>
      </c>
    </row>
    <row r="10" customFormat="false" ht="15" hidden="false" customHeight="false" outlineLevel="0" collapsed="false">
      <c r="A10" s="26" t="s">
        <v>229</v>
      </c>
      <c r="B10" s="9" t="n">
        <f aca="false">COUNTIF('Inventory Master'!J4:J33,"⚠ Out of Stock")</f>
        <v>0</v>
      </c>
      <c r="C10" s="33" t="n">
        <f aca="false">B10/B$11</f>
        <v>0</v>
      </c>
    </row>
    <row r="11" customFormat="false" ht="15" hidden="false" customHeight="false" outlineLevel="0" collapsed="false">
      <c r="A11" s="18" t="s">
        <v>230</v>
      </c>
      <c r="B11" s="18" t="n">
        <f aca="false">SUM(B8:B10)</f>
        <v>30</v>
      </c>
      <c r="C11" s="18"/>
    </row>
    <row r="13" customFormat="false" ht="15" hidden="false" customHeight="false" outlineLevel="0" collapsed="false">
      <c r="A13" s="3" t="s">
        <v>4</v>
      </c>
      <c r="B13" s="3" t="s">
        <v>220</v>
      </c>
      <c r="C13" s="3" t="s">
        <v>7</v>
      </c>
      <c r="D13" s="3" t="s">
        <v>10</v>
      </c>
    </row>
    <row r="14" customFormat="false" ht="15" hidden="false" customHeight="false" outlineLevel="0" collapsed="false">
      <c r="A14" s="4" t="s">
        <v>17</v>
      </c>
      <c r="B14" s="35" t="n">
        <f aca="false">COUNTIF('Inventory Master'!C4:C33,"Stationery")</f>
        <v>7</v>
      </c>
      <c r="C14" s="35" t="n">
        <f aca="false">SUMIF('Inventory Master'!C4:C33,"Stationery",'Inventory Master'!F4:F33)</f>
        <v>423</v>
      </c>
      <c r="D14" s="36" t="n">
        <f aca="false">SUMIF('Inventory Master'!C4:C33,"Stationery",'Inventory Master'!I4:I33)</f>
        <v>232350</v>
      </c>
    </row>
    <row r="15" customFormat="false" ht="15" hidden="false" customHeight="false" outlineLevel="0" collapsed="false">
      <c r="A15" s="11" t="s">
        <v>37</v>
      </c>
      <c r="B15" s="37" t="n">
        <f aca="false">COUNTIF('Inventory Master'!C4:C33,"Electronics")</f>
        <v>8</v>
      </c>
      <c r="C15" s="37" t="n">
        <f aca="false">SUMIF('Inventory Master'!C4:C33,"Electronics",'Inventory Master'!F4:F33)</f>
        <v>135</v>
      </c>
      <c r="D15" s="38" t="n">
        <f aca="false">SUMIF('Inventory Master'!C4:C33,"Electronics",'Inventory Master'!I4:I33)</f>
        <v>1361700</v>
      </c>
    </row>
    <row r="16" customFormat="false" ht="15" hidden="false" customHeight="false" outlineLevel="0" collapsed="false">
      <c r="A16" s="4" t="s">
        <v>51</v>
      </c>
      <c r="B16" s="35" t="n">
        <f aca="false">COUNTIF('Inventory Master'!C4:C33,"Furniture")</f>
        <v>5</v>
      </c>
      <c r="C16" s="35" t="n">
        <f aca="false">SUMIF('Inventory Master'!C4:C33,"Furniture",'Inventory Master'!F4:F33)</f>
        <v>40</v>
      </c>
      <c r="D16" s="36" t="n">
        <f aca="false">SUMIF('Inventory Master'!C4:C33,"Furniture",'Inventory Master'!I4:I33)</f>
        <v>873500</v>
      </c>
    </row>
    <row r="17" customFormat="false" ht="15" hidden="false" customHeight="false" outlineLevel="0" collapsed="false">
      <c r="A17" s="11" t="s">
        <v>67</v>
      </c>
      <c r="B17" s="37" t="n">
        <f aca="false">COUNTIF('Inventory Master'!C4:C33,"Hygiene")</f>
        <v>5</v>
      </c>
      <c r="C17" s="37" t="n">
        <f aca="false">SUMIF('Inventory Master'!C4:C33,"Hygiene",'Inventory Master'!F4:F33)</f>
        <v>145</v>
      </c>
      <c r="D17" s="38" t="n">
        <f aca="false">SUMIF('Inventory Master'!C4:C33,"Hygiene",'Inventory Master'!I4:I33)</f>
        <v>148500</v>
      </c>
    </row>
    <row r="18" customFormat="false" ht="15" hidden="false" customHeight="false" outlineLevel="0" collapsed="false">
      <c r="A18" s="4" t="s">
        <v>100</v>
      </c>
      <c r="B18" s="35" t="n">
        <f aca="false">COUNTIF('Inventory Master'!C4:C33,"Pantry")</f>
        <v>4</v>
      </c>
      <c r="C18" s="35" t="n">
        <f aca="false">SUMIF('Inventory Master'!C4:C33,"Pantry",'Inventory Master'!F4:F33)</f>
        <v>112</v>
      </c>
      <c r="D18" s="36" t="n">
        <f aca="false">SUMIF('Inventory Master'!C4:C33,"Pantry",'Inventory Master'!I4:I33)</f>
        <v>51360</v>
      </c>
    </row>
    <row r="19" customFormat="false" ht="15" hidden="false" customHeight="false" outlineLevel="0" collapsed="false">
      <c r="A19" s="11" t="s">
        <v>135</v>
      </c>
      <c r="B19" s="37" t="n">
        <f aca="false">COUNTIF('Inventory Master'!C4:C33,"Security")</f>
        <v>1</v>
      </c>
      <c r="C19" s="37" t="n">
        <f aca="false">SUMIF('Inventory Master'!C4:C33,"Security",'Inventory Master'!F4:F33)</f>
        <v>12</v>
      </c>
      <c r="D19" s="38" t="n">
        <f aca="false">SUMIF('Inventory Master'!C4:C33,"Security",'Inventory Master'!I4:I33)</f>
        <v>10200</v>
      </c>
    </row>
    <row r="20" customFormat="false" ht="15" hidden="false" customHeight="false" outlineLevel="0" collapsed="false">
      <c r="A20" s="18" t="s">
        <v>230</v>
      </c>
      <c r="B20" s="18" t="n">
        <f aca="false">SUM(B14:B19)</f>
        <v>30</v>
      </c>
      <c r="C20" s="18" t="n">
        <f aca="false">SUM(C14:C19)</f>
        <v>867</v>
      </c>
      <c r="D20" s="20" t="n">
        <f aca="false">SUM(D14:D19)</f>
        <v>2677610</v>
      </c>
    </row>
    <row r="22" customFormat="false" ht="21.75" hidden="false" customHeight="true" outlineLevel="0" collapsed="false">
      <c r="A22" s="39" t="s">
        <v>231</v>
      </c>
      <c r="B22" s="39"/>
      <c r="C22" s="39"/>
      <c r="D22" s="39"/>
    </row>
    <row r="23" customFormat="false" ht="15" hidden="false" customHeight="false" outlineLevel="0" collapsed="false">
      <c r="A23" s="3" t="s">
        <v>2</v>
      </c>
      <c r="B23" s="3" t="s">
        <v>3</v>
      </c>
      <c r="C23" s="3" t="s">
        <v>232</v>
      </c>
      <c r="D23" s="3" t="s">
        <v>8</v>
      </c>
    </row>
    <row r="24" customFormat="false" ht="15" hidden="false" customHeight="false" outlineLevel="0" collapsed="false">
      <c r="A24" s="40" t="s">
        <v>75</v>
      </c>
      <c r="B24" s="41" t="s">
        <v>76</v>
      </c>
      <c r="C24" s="40" t="n">
        <v>15</v>
      </c>
      <c r="D24" s="40" t="n">
        <v>20</v>
      </c>
    </row>
  </sheetData>
  <mergeCells count="3">
    <mergeCell ref="A1:F1"/>
    <mergeCell ref="A2:F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8"/>
  </cols>
  <sheetData>
    <row r="1" customFormat="false" ht="30" hidden="false" customHeight="true" outlineLevel="0" collapsed="false">
      <c r="A1" s="21" t="s">
        <v>233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42" t="s">
        <v>234</v>
      </c>
      <c r="B2" s="42" t="s">
        <v>235</v>
      </c>
      <c r="C2" s="3" t="s">
        <v>236</v>
      </c>
      <c r="D2" s="42" t="s">
        <v>237</v>
      </c>
      <c r="E2" s="3" t="s">
        <v>238</v>
      </c>
    </row>
    <row r="3" customFormat="false" ht="19.5" hidden="false" customHeight="true" outlineLevel="0" collapsed="false">
      <c r="A3" s="12" t="s">
        <v>239</v>
      </c>
      <c r="B3" s="12" t="s">
        <v>240</v>
      </c>
      <c r="C3" s="24" t="s">
        <v>241</v>
      </c>
      <c r="D3" s="12" t="s">
        <v>242</v>
      </c>
      <c r="E3" s="43" t="s">
        <v>243</v>
      </c>
    </row>
    <row r="4" customFormat="false" ht="19.5" hidden="false" customHeight="true" outlineLevel="0" collapsed="false">
      <c r="A4" s="5" t="s">
        <v>244</v>
      </c>
      <c r="B4" s="5" t="s">
        <v>245</v>
      </c>
      <c r="C4" s="22" t="s">
        <v>241</v>
      </c>
      <c r="D4" s="5" t="s">
        <v>246</v>
      </c>
      <c r="E4" s="44" t="s">
        <v>243</v>
      </c>
    </row>
    <row r="5" customFormat="false" ht="19.5" hidden="false" customHeight="true" outlineLevel="0" collapsed="false">
      <c r="A5" s="12" t="s">
        <v>247</v>
      </c>
      <c r="B5" s="12" t="s">
        <v>248</v>
      </c>
      <c r="C5" s="24" t="s">
        <v>241</v>
      </c>
      <c r="D5" s="12" t="s">
        <v>249</v>
      </c>
      <c r="E5" s="43" t="s">
        <v>243</v>
      </c>
    </row>
    <row r="6" customFormat="false" ht="19.5" hidden="false" customHeight="true" outlineLevel="0" collapsed="false">
      <c r="A6" s="5" t="s">
        <v>250</v>
      </c>
      <c r="B6" s="5" t="s">
        <v>251</v>
      </c>
      <c r="C6" s="22" t="s">
        <v>241</v>
      </c>
      <c r="D6" s="5" t="s">
        <v>252</v>
      </c>
      <c r="E6" s="44" t="s">
        <v>243</v>
      </c>
    </row>
    <row r="7" customFormat="false" ht="19.5" hidden="false" customHeight="true" outlineLevel="0" collapsed="false">
      <c r="A7" s="12" t="s">
        <v>253</v>
      </c>
      <c r="B7" s="12" t="s">
        <v>254</v>
      </c>
      <c r="C7" s="24" t="s">
        <v>241</v>
      </c>
      <c r="D7" s="12" t="s">
        <v>255</v>
      </c>
      <c r="E7" s="43" t="s">
        <v>243</v>
      </c>
    </row>
    <row r="8" customFormat="false" ht="19.5" hidden="false" customHeight="true" outlineLevel="0" collapsed="false">
      <c r="A8" s="5" t="s">
        <v>256</v>
      </c>
      <c r="B8" s="5" t="s">
        <v>257</v>
      </c>
      <c r="C8" s="22" t="s">
        <v>241</v>
      </c>
      <c r="D8" s="5" t="s">
        <v>258</v>
      </c>
      <c r="E8" s="44" t="s">
        <v>243</v>
      </c>
    </row>
    <row r="9" customFormat="false" ht="19.5" hidden="false" customHeight="true" outlineLevel="0" collapsed="false">
      <c r="A9" s="12" t="s">
        <v>259</v>
      </c>
      <c r="B9" s="12" t="s">
        <v>260</v>
      </c>
      <c r="C9" s="24" t="s">
        <v>241</v>
      </c>
      <c r="D9" s="12" t="s">
        <v>261</v>
      </c>
      <c r="E9" s="43" t="s">
        <v>243</v>
      </c>
    </row>
    <row r="10" customFormat="false" ht="19.5" hidden="false" customHeight="true" outlineLevel="0" collapsed="false">
      <c r="A10" s="5" t="s">
        <v>262</v>
      </c>
      <c r="B10" s="5" t="s">
        <v>263</v>
      </c>
      <c r="C10" s="22" t="s">
        <v>241</v>
      </c>
      <c r="D10" s="5" t="s">
        <v>264</v>
      </c>
      <c r="E10" s="44" t="s">
        <v>243</v>
      </c>
    </row>
    <row r="11" customFormat="false" ht="19.5" hidden="false" customHeight="true" outlineLevel="0" collapsed="false">
      <c r="A11" s="12" t="s">
        <v>265</v>
      </c>
      <c r="B11" s="12" t="s">
        <v>266</v>
      </c>
      <c r="C11" s="24" t="s">
        <v>241</v>
      </c>
      <c r="D11" s="12" t="s">
        <v>267</v>
      </c>
      <c r="E11" s="43" t="s">
        <v>243</v>
      </c>
    </row>
    <row r="12" customFormat="false" ht="19.5" hidden="false" customHeight="true" outlineLevel="0" collapsed="false">
      <c r="A12" s="5" t="s">
        <v>268</v>
      </c>
      <c r="B12" s="5" t="s">
        <v>269</v>
      </c>
      <c r="C12" s="22" t="s">
        <v>241</v>
      </c>
      <c r="D12" s="5" t="s">
        <v>270</v>
      </c>
      <c r="E12" s="44" t="s">
        <v>243</v>
      </c>
    </row>
    <row r="13" customFormat="false" ht="19.5" hidden="false" customHeight="true" outlineLevel="0" collapsed="false">
      <c r="A13" s="12" t="s">
        <v>271</v>
      </c>
      <c r="B13" s="12" t="s">
        <v>272</v>
      </c>
      <c r="C13" s="24" t="s">
        <v>241</v>
      </c>
      <c r="D13" s="12" t="s">
        <v>273</v>
      </c>
      <c r="E13" s="43" t="s">
        <v>243</v>
      </c>
    </row>
    <row r="16" customFormat="false" ht="21.75" hidden="false" customHeight="true" outlineLevel="0" collapsed="false">
      <c r="A16" s="45" t="s">
        <v>274</v>
      </c>
      <c r="B16" s="45"/>
      <c r="C16" s="45"/>
      <c r="D16" s="45"/>
      <c r="E16" s="45"/>
      <c r="F16" s="45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2026-03-20T20:12:44Z</dcterms:created>
  <dc:creator>openpyxl</dc:creator>
  <dc:description/>
  <dc:language>en-US</dc:language>
  <cp:lastModifiedBy/>
  <dcterms:modified xsi:type="dcterms:W3CDTF">2026-03-20T20:12:44Z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