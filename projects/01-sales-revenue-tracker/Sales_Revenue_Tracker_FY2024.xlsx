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D781EBD-8422-405C-895F-D3D0B577FEF9}" xr6:coauthVersionLast="47" xr6:coauthVersionMax="47" xr10:uidLastSave="{00000000-0000-0000-0000-000000000000}"/>
  <bookViews>
    <workbookView xWindow="-110" yWindow="-110" windowWidth="19420" windowHeight="10660" tabRatio="500" xr2:uid="{00000000-000D-0000-FFFF-FFFF00000000}"/>
  </bookViews>
  <sheets>
    <sheet name="Sales Data" sheetId="1" r:id="rId1"/>
    <sheet name="Summary Dashboard" sheetId="2" r:id="rId2"/>
    <sheet name="Verification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2" l="1"/>
  <c r="B23" i="2"/>
  <c r="B22" i="2"/>
  <c r="B21" i="2"/>
  <c r="B25" i="2" s="1"/>
  <c r="B17" i="2"/>
  <c r="C16" i="2"/>
  <c r="B16" i="2"/>
  <c r="B15" i="2"/>
  <c r="B18" i="2" s="1"/>
  <c r="B11" i="2"/>
  <c r="B10" i="2"/>
  <c r="E10" i="2" s="1"/>
  <c r="B9" i="2"/>
  <c r="E9" i="2" s="1"/>
  <c r="B8" i="2"/>
  <c r="B12" i="2" s="1"/>
  <c r="C5" i="2"/>
  <c r="A5" i="2"/>
  <c r="G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D11" i="2" s="1"/>
  <c r="I8" i="1"/>
  <c r="C24" i="2" s="1"/>
  <c r="K7" i="1"/>
  <c r="I7" i="1"/>
  <c r="K6" i="1"/>
  <c r="D10" i="2" s="1"/>
  <c r="I6" i="1"/>
  <c r="C10" i="2" s="1"/>
  <c r="K5" i="1"/>
  <c r="D9" i="2" s="1"/>
  <c r="I5" i="1"/>
  <c r="C9" i="2" s="1"/>
  <c r="K4" i="1"/>
  <c r="D21" i="2" s="1"/>
  <c r="I4" i="1"/>
  <c r="E5" i="2" s="1"/>
  <c r="E11" i="2" l="1"/>
  <c r="K30" i="1"/>
  <c r="G5" i="2"/>
  <c r="C17" i="2"/>
  <c r="C23" i="2"/>
  <c r="D24" i="2"/>
  <c r="C22" i="2"/>
  <c r="D23" i="2"/>
  <c r="D17" i="2"/>
  <c r="C8" i="2"/>
  <c r="C12" i="2" s="1"/>
  <c r="C11" i="2"/>
  <c r="C15" i="2"/>
  <c r="C18" i="2" s="1"/>
  <c r="D16" i="2"/>
  <c r="C21" i="2"/>
  <c r="C25" i="2" s="1"/>
  <c r="D22" i="2"/>
  <c r="D25" i="2" s="1"/>
  <c r="I30" i="1"/>
  <c r="D8" i="2"/>
  <c r="D12" i="2" s="1"/>
  <c r="D15" i="2"/>
  <c r="D18" i="2" s="1"/>
  <c r="E8" i="2" l="1"/>
  <c r="E12" i="2" s="1"/>
</calcChain>
</file>

<file path=xl/sharedStrings.xml><?xml version="1.0" encoding="utf-8"?>
<sst xmlns="http://schemas.openxmlformats.org/spreadsheetml/2006/main" count="264" uniqueCount="133">
  <si>
    <t>SALES &amp; REVENUE TRACKER — FY 2024</t>
  </si>
  <si>
    <t>Data Entry Clerk: Viena Ouma  |  Prepared: March 2026  |  All amounts in KES</t>
  </si>
  <si>
    <t>Order ID</t>
  </si>
  <si>
    <t>Date</t>
  </si>
  <si>
    <t>Sales Rep</t>
  </si>
  <si>
    <t>Region</t>
  </si>
  <si>
    <t>Product</t>
  </si>
  <si>
    <t>Category</t>
  </si>
  <si>
    <t>Units Sold</t>
  </si>
  <si>
    <t>Unit Price (KES)</t>
  </si>
  <si>
    <t>Gross Revenue (KES)</t>
  </si>
  <si>
    <t>Discount (%)</t>
  </si>
  <si>
    <t>Net Revenue (KES)</t>
  </si>
  <si>
    <t>ORD-001</t>
  </si>
  <si>
    <t>2024-01-05</t>
  </si>
  <si>
    <t>Alice Kamau</t>
  </si>
  <si>
    <t>Nairobi</t>
  </si>
  <si>
    <t>Laptop Pro 15</t>
  </si>
  <si>
    <t>Electronics</t>
  </si>
  <si>
    <t>ORD-002</t>
  </si>
  <si>
    <t>2024-01-12</t>
  </si>
  <si>
    <t>Brian Otieno</t>
  </si>
  <si>
    <t>Mombasa</t>
  </si>
  <si>
    <t>Office Chair X2</t>
  </si>
  <si>
    <t>Furniture</t>
  </si>
  <si>
    <t>ORD-003</t>
  </si>
  <si>
    <t>2024-01-20</t>
  </si>
  <si>
    <t>Carol Wanjiku</t>
  </si>
  <si>
    <t>Kisumu</t>
  </si>
  <si>
    <t>Wireless Mouse</t>
  </si>
  <si>
    <t>Accessories</t>
  </si>
  <si>
    <t>ORD-004</t>
  </si>
  <si>
    <t>2024-02-03</t>
  </si>
  <si>
    <t>Monitor 27"</t>
  </si>
  <si>
    <t>ORD-005</t>
  </si>
  <si>
    <t>2024-02-14</t>
  </si>
  <si>
    <t>David Mwangi</t>
  </si>
  <si>
    <t>Nakuru</t>
  </si>
  <si>
    <t>Standing Desk</t>
  </si>
  <si>
    <t>ORD-006</t>
  </si>
  <si>
    <t>2024-02-28</t>
  </si>
  <si>
    <t>ORD-007</t>
  </si>
  <si>
    <t>2024-03-07</t>
  </si>
  <si>
    <t>Keyboard Mech</t>
  </si>
  <si>
    <t>ORD-008</t>
  </si>
  <si>
    <t>2024-03-15</t>
  </si>
  <si>
    <t>ORD-009</t>
  </si>
  <si>
    <t>2024-04-02</t>
  </si>
  <si>
    <t>ORD-010</t>
  </si>
  <si>
    <t>2024-04-18</t>
  </si>
  <si>
    <t>ORD-011</t>
  </si>
  <si>
    <t>2024-05-09</t>
  </si>
  <si>
    <t>ORD-012</t>
  </si>
  <si>
    <t>2024-05-22</t>
  </si>
  <si>
    <t>ORD-013</t>
  </si>
  <si>
    <t>2024-06-01</t>
  </si>
  <si>
    <t>ORD-014</t>
  </si>
  <si>
    <t>2024-06-17</t>
  </si>
  <si>
    <t>ORD-015</t>
  </si>
  <si>
    <t>2024-07-04</t>
  </si>
  <si>
    <t>ORD-016</t>
  </si>
  <si>
    <t>2024-07-19</t>
  </si>
  <si>
    <t>ORD-017</t>
  </si>
  <si>
    <t>2024-08-08</t>
  </si>
  <si>
    <t>ORD-018</t>
  </si>
  <si>
    <t>2024-08-25</t>
  </si>
  <si>
    <t>ORD-019</t>
  </si>
  <si>
    <t>2024-09-11</t>
  </si>
  <si>
    <t>ORD-020</t>
  </si>
  <si>
    <t>2024-09-28</t>
  </si>
  <si>
    <t>ORD-021</t>
  </si>
  <si>
    <t>2024-10-05</t>
  </si>
  <si>
    <t>ORD-022</t>
  </si>
  <si>
    <t>2024-10-20</t>
  </si>
  <si>
    <t>ORD-023</t>
  </si>
  <si>
    <t>2024-11-03</t>
  </si>
  <si>
    <t>ORD-024</t>
  </si>
  <si>
    <t>2024-11-19</t>
  </si>
  <si>
    <t>ORD-025</t>
  </si>
  <si>
    <t>2024-12-07</t>
  </si>
  <si>
    <t>ORD-026</t>
  </si>
  <si>
    <t>2024-12-22</t>
  </si>
  <si>
    <t>TOTALS</t>
  </si>
  <si>
    <t>SALES SUMMARY DASHBOARD — FY 2024</t>
  </si>
  <si>
    <t>Auto-calculated from Sales Data sheet</t>
  </si>
  <si>
    <t>Total Orders</t>
  </si>
  <si>
    <t>Total Units Sold</t>
  </si>
  <si>
    <t>Total Gross Rev (KES)</t>
  </si>
  <si>
    <t>Total Net Rev (KES)</t>
  </si>
  <si>
    <t>Avg Net/Order (KES)</t>
  </si>
  <si>
    <t>TOTAL</t>
  </si>
  <si>
    <t>Discount Rate</t>
  </si>
  <si>
    <t>5%</t>
  </si>
  <si>
    <t>8%</t>
  </si>
  <si>
    <t>3%</t>
  </si>
  <si>
    <t>DATA VERIFICATION &amp; QUALITY CHECK LOG</t>
  </si>
  <si>
    <t>CHECK</t>
  </si>
  <si>
    <t>DESCRIPTION</t>
  </si>
  <si>
    <t>RESULT</t>
  </si>
  <si>
    <t>DETAILS</t>
  </si>
  <si>
    <t>STATUS</t>
  </si>
  <si>
    <t>Duplicate Order IDs</t>
  </si>
  <si>
    <t>Verify all Order IDs are unique</t>
  </si>
  <si>
    <t>PASSED</t>
  </si>
  <si>
    <t>26 unique IDs, 0 duplicates found</t>
  </si>
  <si>
    <t>✔</t>
  </si>
  <si>
    <t>Date Range Validity</t>
  </si>
  <si>
    <t>All dates fall within FY 2024</t>
  </si>
  <si>
    <t>Range: 2024-01-05 to 2024-12-22</t>
  </si>
  <si>
    <t>Missing Values</t>
  </si>
  <si>
    <t>Check for blank cells in required fields</t>
  </si>
  <si>
    <t>No blank cells detected in cols A–H</t>
  </si>
  <si>
    <t>Unit Price Consistency</t>
  </si>
  <si>
    <t>Same product = same unit price</t>
  </si>
  <si>
    <t>Prices verified against product master list</t>
  </si>
  <si>
    <t>Formula Accuracy (Gross)</t>
  </si>
  <si>
    <t>Gross = Units × Unit Price</t>
  </si>
  <si>
    <t>All 26 rows verified; 0 formula errors</t>
  </si>
  <si>
    <t>Formula Accuracy (Net)</t>
  </si>
  <si>
    <t>Net = Gross × (1 – Discount)</t>
  </si>
  <si>
    <t>Discount Rate Consistency</t>
  </si>
  <si>
    <t>Category-level discount applied correctly</t>
  </si>
  <si>
    <t>Elec 5%, Furn 8%, Access 3% — confirmed</t>
  </si>
  <si>
    <t>Negative Revenue Check</t>
  </si>
  <si>
    <t>No negative revenue values</t>
  </si>
  <si>
    <t>MIN(Net Revenue) &gt; 0 confirmed</t>
  </si>
  <si>
    <t>Region Spelling</t>
  </si>
  <si>
    <t>Standardised region names</t>
  </si>
  <si>
    <t>4 regions: Nairobi, Mombasa, Kisumu, Nakuru</t>
  </si>
  <si>
    <t>Summary Tie-Out</t>
  </si>
  <si>
    <t>Dashboard totals match raw data totals</t>
  </si>
  <si>
    <t>Gross &amp; Net sums reconciled across sheets</t>
  </si>
  <si>
    <t>VERIFIED BY: Viena Ouma  |  ROLE: Remote Data Entry Clerk  |  DATE: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</si>
</sst>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80"/>
      <name val="Arial"/>
      <charset val="1"/>
    </font>
    <font>
      <b/>
      <sz val="13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375623"/>
      <name val="Arial"/>
      <charset val="1"/>
    </font>
    <font>
      <b/>
      <sz val="11"/>
      <color rgb="FF375623"/>
      <name val="Arial"/>
      <charset val="1"/>
    </font>
    <font>
      <b/>
      <i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EBF3FB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1" fontId="6" fillId="6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showGridLines="0" tabSelected="1" zoomScaleNormal="100" workbookViewId="0">
      <pane ySplit="3" topLeftCell="A11" activePane="bottomLeft" state="frozen"/>
      <selection pane="bottomLeft" sqref="A1:K1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18" customWidth="1"/>
    <col min="4" max="4" width="14" customWidth="1"/>
    <col min="5" max="5" width="22" customWidth="1"/>
    <col min="6" max="6" width="16" customWidth="1"/>
    <col min="7" max="7" width="12" customWidth="1"/>
    <col min="8" max="8" width="18" customWidth="1"/>
    <col min="9" max="9" width="22" customWidth="1"/>
    <col min="10" max="10" width="14" customWidth="1"/>
    <col min="11" max="11" width="22" customWidth="1"/>
  </cols>
  <sheetData>
    <row r="1" spans="1:11" ht="31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8" customHeight="1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1.75" customHeight="1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35">
      <c r="A4" s="6" t="s">
        <v>13</v>
      </c>
      <c r="B4" s="7" t="s">
        <v>14</v>
      </c>
      <c r="C4" s="8" t="s">
        <v>15</v>
      </c>
      <c r="D4" s="6" t="s">
        <v>16</v>
      </c>
      <c r="E4" s="8" t="s">
        <v>17</v>
      </c>
      <c r="F4" s="6" t="s">
        <v>18</v>
      </c>
      <c r="G4" s="6">
        <v>8</v>
      </c>
      <c r="H4" s="9">
        <v>95000</v>
      </c>
      <c r="I4" s="10">
        <f t="shared" ref="I4:I29" si="0">G4*H4</f>
        <v>760000</v>
      </c>
      <c r="J4" s="11">
        <v>0.05</v>
      </c>
      <c r="K4" s="10">
        <f t="shared" ref="K4:K29" si="1">I4*(1-J4)</f>
        <v>722000</v>
      </c>
    </row>
    <row r="5" spans="1:11" x14ac:dyDescent="0.35">
      <c r="A5" s="12" t="s">
        <v>19</v>
      </c>
      <c r="B5" s="13" t="s">
        <v>20</v>
      </c>
      <c r="C5" s="14" t="s">
        <v>21</v>
      </c>
      <c r="D5" s="12" t="s">
        <v>22</v>
      </c>
      <c r="E5" s="14" t="s">
        <v>23</v>
      </c>
      <c r="F5" s="12" t="s">
        <v>24</v>
      </c>
      <c r="G5" s="12">
        <v>15</v>
      </c>
      <c r="H5" s="15">
        <v>12500</v>
      </c>
      <c r="I5" s="16">
        <f t="shared" si="0"/>
        <v>187500</v>
      </c>
      <c r="J5" s="17">
        <v>0.08</v>
      </c>
      <c r="K5" s="16">
        <f t="shared" si="1"/>
        <v>172500</v>
      </c>
    </row>
    <row r="6" spans="1:11" x14ac:dyDescent="0.35">
      <c r="A6" s="6" t="s">
        <v>25</v>
      </c>
      <c r="B6" s="7" t="s">
        <v>26</v>
      </c>
      <c r="C6" s="8" t="s">
        <v>27</v>
      </c>
      <c r="D6" s="6" t="s">
        <v>28</v>
      </c>
      <c r="E6" s="8" t="s">
        <v>29</v>
      </c>
      <c r="F6" s="6" t="s">
        <v>30</v>
      </c>
      <c r="G6" s="6">
        <v>40</v>
      </c>
      <c r="H6" s="9">
        <v>2200</v>
      </c>
      <c r="I6" s="10">
        <f t="shared" si="0"/>
        <v>88000</v>
      </c>
      <c r="J6" s="11">
        <v>0.03</v>
      </c>
      <c r="K6" s="10">
        <f t="shared" si="1"/>
        <v>85360</v>
      </c>
    </row>
    <row r="7" spans="1:11" x14ac:dyDescent="0.35">
      <c r="A7" s="12" t="s">
        <v>31</v>
      </c>
      <c r="B7" s="13" t="s">
        <v>32</v>
      </c>
      <c r="C7" s="14" t="s">
        <v>15</v>
      </c>
      <c r="D7" s="12" t="s">
        <v>16</v>
      </c>
      <c r="E7" s="14" t="s">
        <v>33</v>
      </c>
      <c r="F7" s="12" t="s">
        <v>18</v>
      </c>
      <c r="G7" s="12">
        <v>6</v>
      </c>
      <c r="H7" s="15">
        <v>38000</v>
      </c>
      <c r="I7" s="16">
        <f t="shared" si="0"/>
        <v>228000</v>
      </c>
      <c r="J7" s="17">
        <v>0.05</v>
      </c>
      <c r="K7" s="16">
        <f t="shared" si="1"/>
        <v>216600</v>
      </c>
    </row>
    <row r="8" spans="1:11" x14ac:dyDescent="0.35">
      <c r="A8" s="6" t="s">
        <v>34</v>
      </c>
      <c r="B8" s="7" t="s">
        <v>35</v>
      </c>
      <c r="C8" s="8" t="s">
        <v>36</v>
      </c>
      <c r="D8" s="6" t="s">
        <v>37</v>
      </c>
      <c r="E8" s="8" t="s">
        <v>38</v>
      </c>
      <c r="F8" s="6" t="s">
        <v>24</v>
      </c>
      <c r="G8" s="6">
        <v>9</v>
      </c>
      <c r="H8" s="9">
        <v>28000</v>
      </c>
      <c r="I8" s="10">
        <f t="shared" si="0"/>
        <v>252000</v>
      </c>
      <c r="J8" s="11">
        <v>0.08</v>
      </c>
      <c r="K8" s="10">
        <f t="shared" si="1"/>
        <v>231840</v>
      </c>
    </row>
    <row r="9" spans="1:11" x14ac:dyDescent="0.35">
      <c r="A9" s="12" t="s">
        <v>39</v>
      </c>
      <c r="B9" s="13" t="s">
        <v>40</v>
      </c>
      <c r="C9" s="14" t="s">
        <v>21</v>
      </c>
      <c r="D9" s="12" t="s">
        <v>22</v>
      </c>
      <c r="E9" s="14" t="s">
        <v>17</v>
      </c>
      <c r="F9" s="12" t="s">
        <v>18</v>
      </c>
      <c r="G9" s="12">
        <v>5</v>
      </c>
      <c r="H9" s="15">
        <v>95000</v>
      </c>
      <c r="I9" s="16">
        <f t="shared" si="0"/>
        <v>475000</v>
      </c>
      <c r="J9" s="17">
        <v>0.05</v>
      </c>
      <c r="K9" s="16">
        <f t="shared" si="1"/>
        <v>451250</v>
      </c>
    </row>
    <row r="10" spans="1:11" x14ac:dyDescent="0.35">
      <c r="A10" s="6" t="s">
        <v>41</v>
      </c>
      <c r="B10" s="7" t="s">
        <v>42</v>
      </c>
      <c r="C10" s="8" t="s">
        <v>27</v>
      </c>
      <c r="D10" s="6" t="s">
        <v>28</v>
      </c>
      <c r="E10" s="8" t="s">
        <v>43</v>
      </c>
      <c r="F10" s="6" t="s">
        <v>30</v>
      </c>
      <c r="G10" s="6">
        <v>25</v>
      </c>
      <c r="H10" s="9">
        <v>5500</v>
      </c>
      <c r="I10" s="10">
        <f t="shared" si="0"/>
        <v>137500</v>
      </c>
      <c r="J10" s="11">
        <v>0.03</v>
      </c>
      <c r="K10" s="10">
        <f t="shared" si="1"/>
        <v>133375</v>
      </c>
    </row>
    <row r="11" spans="1:11" x14ac:dyDescent="0.35">
      <c r="A11" s="12" t="s">
        <v>44</v>
      </c>
      <c r="B11" s="13" t="s">
        <v>45</v>
      </c>
      <c r="C11" s="14" t="s">
        <v>36</v>
      </c>
      <c r="D11" s="12" t="s">
        <v>37</v>
      </c>
      <c r="E11" s="14" t="s">
        <v>33</v>
      </c>
      <c r="F11" s="12" t="s">
        <v>18</v>
      </c>
      <c r="G11" s="12">
        <v>4</v>
      </c>
      <c r="H11" s="15">
        <v>38000</v>
      </c>
      <c r="I11" s="16">
        <f t="shared" si="0"/>
        <v>152000</v>
      </c>
      <c r="J11" s="17">
        <v>0.05</v>
      </c>
      <c r="K11" s="16">
        <f t="shared" si="1"/>
        <v>144400</v>
      </c>
    </row>
    <row r="12" spans="1:11" x14ac:dyDescent="0.35">
      <c r="A12" s="6" t="s">
        <v>46</v>
      </c>
      <c r="B12" s="7" t="s">
        <v>47</v>
      </c>
      <c r="C12" s="8" t="s">
        <v>15</v>
      </c>
      <c r="D12" s="6" t="s">
        <v>16</v>
      </c>
      <c r="E12" s="8" t="s">
        <v>23</v>
      </c>
      <c r="F12" s="6" t="s">
        <v>24</v>
      </c>
      <c r="G12" s="6">
        <v>20</v>
      </c>
      <c r="H12" s="9">
        <v>12500</v>
      </c>
      <c r="I12" s="10">
        <f t="shared" si="0"/>
        <v>250000</v>
      </c>
      <c r="J12" s="11">
        <v>0.08</v>
      </c>
      <c r="K12" s="10">
        <f t="shared" si="1"/>
        <v>230000</v>
      </c>
    </row>
    <row r="13" spans="1:11" x14ac:dyDescent="0.35">
      <c r="A13" s="12" t="s">
        <v>48</v>
      </c>
      <c r="B13" s="13" t="s">
        <v>49</v>
      </c>
      <c r="C13" s="14" t="s">
        <v>21</v>
      </c>
      <c r="D13" s="12" t="s">
        <v>22</v>
      </c>
      <c r="E13" s="14" t="s">
        <v>29</v>
      </c>
      <c r="F13" s="12" t="s">
        <v>30</v>
      </c>
      <c r="G13" s="12">
        <v>60</v>
      </c>
      <c r="H13" s="15">
        <v>2200</v>
      </c>
      <c r="I13" s="16">
        <f t="shared" si="0"/>
        <v>132000</v>
      </c>
      <c r="J13" s="17">
        <v>0.03</v>
      </c>
      <c r="K13" s="16">
        <f t="shared" si="1"/>
        <v>128040</v>
      </c>
    </row>
    <row r="14" spans="1:11" x14ac:dyDescent="0.35">
      <c r="A14" s="6" t="s">
        <v>50</v>
      </c>
      <c r="B14" s="7" t="s">
        <v>51</v>
      </c>
      <c r="C14" s="8" t="s">
        <v>27</v>
      </c>
      <c r="D14" s="6" t="s">
        <v>28</v>
      </c>
      <c r="E14" s="8" t="s">
        <v>17</v>
      </c>
      <c r="F14" s="6" t="s">
        <v>18</v>
      </c>
      <c r="G14" s="6">
        <v>3</v>
      </c>
      <c r="H14" s="9">
        <v>95000</v>
      </c>
      <c r="I14" s="10">
        <f t="shared" si="0"/>
        <v>285000</v>
      </c>
      <c r="J14" s="11">
        <v>0.05</v>
      </c>
      <c r="K14" s="10">
        <f t="shared" si="1"/>
        <v>270750</v>
      </c>
    </row>
    <row r="15" spans="1:11" x14ac:dyDescent="0.35">
      <c r="A15" s="12" t="s">
        <v>52</v>
      </c>
      <c r="B15" s="13" t="s">
        <v>53</v>
      </c>
      <c r="C15" s="14" t="s">
        <v>36</v>
      </c>
      <c r="D15" s="12" t="s">
        <v>37</v>
      </c>
      <c r="E15" s="14" t="s">
        <v>43</v>
      </c>
      <c r="F15" s="12" t="s">
        <v>30</v>
      </c>
      <c r="G15" s="12">
        <v>30</v>
      </c>
      <c r="H15" s="15">
        <v>5500</v>
      </c>
      <c r="I15" s="16">
        <f t="shared" si="0"/>
        <v>165000</v>
      </c>
      <c r="J15" s="17">
        <v>0.03</v>
      </c>
      <c r="K15" s="16">
        <f t="shared" si="1"/>
        <v>160050</v>
      </c>
    </row>
    <row r="16" spans="1:11" x14ac:dyDescent="0.35">
      <c r="A16" s="6" t="s">
        <v>54</v>
      </c>
      <c r="B16" s="7" t="s">
        <v>55</v>
      </c>
      <c r="C16" s="8" t="s">
        <v>15</v>
      </c>
      <c r="D16" s="6" t="s">
        <v>16</v>
      </c>
      <c r="E16" s="8" t="s">
        <v>38</v>
      </c>
      <c r="F16" s="6" t="s">
        <v>24</v>
      </c>
      <c r="G16" s="6">
        <v>7</v>
      </c>
      <c r="H16" s="9">
        <v>28000</v>
      </c>
      <c r="I16" s="10">
        <f t="shared" si="0"/>
        <v>196000</v>
      </c>
      <c r="J16" s="11">
        <v>0.08</v>
      </c>
      <c r="K16" s="10">
        <f t="shared" si="1"/>
        <v>180320</v>
      </c>
    </row>
    <row r="17" spans="1:11" x14ac:dyDescent="0.35">
      <c r="A17" s="12" t="s">
        <v>56</v>
      </c>
      <c r="B17" s="13" t="s">
        <v>57</v>
      </c>
      <c r="C17" s="14" t="s">
        <v>21</v>
      </c>
      <c r="D17" s="12" t="s">
        <v>22</v>
      </c>
      <c r="E17" s="14" t="s">
        <v>33</v>
      </c>
      <c r="F17" s="12" t="s">
        <v>18</v>
      </c>
      <c r="G17" s="12">
        <v>5</v>
      </c>
      <c r="H17" s="15">
        <v>38000</v>
      </c>
      <c r="I17" s="16">
        <f t="shared" si="0"/>
        <v>190000</v>
      </c>
      <c r="J17" s="17">
        <v>0.05</v>
      </c>
      <c r="K17" s="16">
        <f t="shared" si="1"/>
        <v>180500</v>
      </c>
    </row>
    <row r="18" spans="1:11" x14ac:dyDescent="0.35">
      <c r="A18" s="6" t="s">
        <v>58</v>
      </c>
      <c r="B18" s="7" t="s">
        <v>59</v>
      </c>
      <c r="C18" s="8" t="s">
        <v>27</v>
      </c>
      <c r="D18" s="6" t="s">
        <v>28</v>
      </c>
      <c r="E18" s="8" t="s">
        <v>23</v>
      </c>
      <c r="F18" s="6" t="s">
        <v>24</v>
      </c>
      <c r="G18" s="6">
        <v>12</v>
      </c>
      <c r="H18" s="9">
        <v>12500</v>
      </c>
      <c r="I18" s="10">
        <f t="shared" si="0"/>
        <v>150000</v>
      </c>
      <c r="J18" s="11">
        <v>0.08</v>
      </c>
      <c r="K18" s="10">
        <f t="shared" si="1"/>
        <v>138000</v>
      </c>
    </row>
    <row r="19" spans="1:11" x14ac:dyDescent="0.35">
      <c r="A19" s="12" t="s">
        <v>60</v>
      </c>
      <c r="B19" s="13" t="s">
        <v>61</v>
      </c>
      <c r="C19" s="14" t="s">
        <v>36</v>
      </c>
      <c r="D19" s="12" t="s">
        <v>37</v>
      </c>
      <c r="E19" s="14" t="s">
        <v>29</v>
      </c>
      <c r="F19" s="12" t="s">
        <v>30</v>
      </c>
      <c r="G19" s="12">
        <v>50</v>
      </c>
      <c r="H19" s="15">
        <v>2200</v>
      </c>
      <c r="I19" s="16">
        <f t="shared" si="0"/>
        <v>110000</v>
      </c>
      <c r="J19" s="17">
        <v>0.03</v>
      </c>
      <c r="K19" s="16">
        <f t="shared" si="1"/>
        <v>106700</v>
      </c>
    </row>
    <row r="20" spans="1:11" x14ac:dyDescent="0.35">
      <c r="A20" s="6" t="s">
        <v>62</v>
      </c>
      <c r="B20" s="7" t="s">
        <v>63</v>
      </c>
      <c r="C20" s="8" t="s">
        <v>15</v>
      </c>
      <c r="D20" s="6" t="s">
        <v>16</v>
      </c>
      <c r="E20" s="8" t="s">
        <v>17</v>
      </c>
      <c r="F20" s="6" t="s">
        <v>18</v>
      </c>
      <c r="G20" s="6">
        <v>7</v>
      </c>
      <c r="H20" s="9">
        <v>95000</v>
      </c>
      <c r="I20" s="10">
        <f t="shared" si="0"/>
        <v>665000</v>
      </c>
      <c r="J20" s="11">
        <v>0.05</v>
      </c>
      <c r="K20" s="10">
        <f t="shared" si="1"/>
        <v>631750</v>
      </c>
    </row>
    <row r="21" spans="1:11" x14ac:dyDescent="0.35">
      <c r="A21" s="12" t="s">
        <v>64</v>
      </c>
      <c r="B21" s="13" t="s">
        <v>65</v>
      </c>
      <c r="C21" s="14" t="s">
        <v>21</v>
      </c>
      <c r="D21" s="12" t="s">
        <v>22</v>
      </c>
      <c r="E21" s="14" t="s">
        <v>38</v>
      </c>
      <c r="F21" s="12" t="s">
        <v>24</v>
      </c>
      <c r="G21" s="12">
        <v>6</v>
      </c>
      <c r="H21" s="15">
        <v>28000</v>
      </c>
      <c r="I21" s="16">
        <f t="shared" si="0"/>
        <v>168000</v>
      </c>
      <c r="J21" s="17">
        <v>0.08</v>
      </c>
      <c r="K21" s="16">
        <f t="shared" si="1"/>
        <v>154560</v>
      </c>
    </row>
    <row r="22" spans="1:11" x14ac:dyDescent="0.35">
      <c r="A22" s="6" t="s">
        <v>66</v>
      </c>
      <c r="B22" s="7" t="s">
        <v>67</v>
      </c>
      <c r="C22" s="8" t="s">
        <v>27</v>
      </c>
      <c r="D22" s="6" t="s">
        <v>28</v>
      </c>
      <c r="E22" s="8" t="s">
        <v>43</v>
      </c>
      <c r="F22" s="6" t="s">
        <v>30</v>
      </c>
      <c r="G22" s="6">
        <v>35</v>
      </c>
      <c r="H22" s="9">
        <v>5500</v>
      </c>
      <c r="I22" s="10">
        <f t="shared" si="0"/>
        <v>192500</v>
      </c>
      <c r="J22" s="11">
        <v>0.03</v>
      </c>
      <c r="K22" s="10">
        <f t="shared" si="1"/>
        <v>186725</v>
      </c>
    </row>
    <row r="23" spans="1:11" x14ac:dyDescent="0.35">
      <c r="A23" s="12" t="s">
        <v>68</v>
      </c>
      <c r="B23" s="13" t="s">
        <v>69</v>
      </c>
      <c r="C23" s="14" t="s">
        <v>36</v>
      </c>
      <c r="D23" s="12" t="s">
        <v>37</v>
      </c>
      <c r="E23" s="14" t="s">
        <v>17</v>
      </c>
      <c r="F23" s="12" t="s">
        <v>18</v>
      </c>
      <c r="G23" s="12">
        <v>4</v>
      </c>
      <c r="H23" s="15">
        <v>95000</v>
      </c>
      <c r="I23" s="16">
        <f t="shared" si="0"/>
        <v>380000</v>
      </c>
      <c r="J23" s="17">
        <v>0.05</v>
      </c>
      <c r="K23" s="16">
        <f t="shared" si="1"/>
        <v>361000</v>
      </c>
    </row>
    <row r="24" spans="1:11" x14ac:dyDescent="0.35">
      <c r="A24" s="6" t="s">
        <v>70</v>
      </c>
      <c r="B24" s="7" t="s">
        <v>71</v>
      </c>
      <c r="C24" s="8" t="s">
        <v>15</v>
      </c>
      <c r="D24" s="6" t="s">
        <v>16</v>
      </c>
      <c r="E24" s="8" t="s">
        <v>33</v>
      </c>
      <c r="F24" s="6" t="s">
        <v>18</v>
      </c>
      <c r="G24" s="6">
        <v>8</v>
      </c>
      <c r="H24" s="9">
        <v>38000</v>
      </c>
      <c r="I24" s="10">
        <f t="shared" si="0"/>
        <v>304000</v>
      </c>
      <c r="J24" s="11">
        <v>0.05</v>
      </c>
      <c r="K24" s="10">
        <f t="shared" si="1"/>
        <v>288800</v>
      </c>
    </row>
    <row r="25" spans="1:11" x14ac:dyDescent="0.35">
      <c r="A25" s="12" t="s">
        <v>72</v>
      </c>
      <c r="B25" s="13" t="s">
        <v>73</v>
      </c>
      <c r="C25" s="14" t="s">
        <v>21</v>
      </c>
      <c r="D25" s="12" t="s">
        <v>22</v>
      </c>
      <c r="E25" s="14" t="s">
        <v>29</v>
      </c>
      <c r="F25" s="12" t="s">
        <v>30</v>
      </c>
      <c r="G25" s="12">
        <v>45</v>
      </c>
      <c r="H25" s="15">
        <v>2200</v>
      </c>
      <c r="I25" s="16">
        <f t="shared" si="0"/>
        <v>99000</v>
      </c>
      <c r="J25" s="17">
        <v>0.03</v>
      </c>
      <c r="K25" s="16">
        <f t="shared" si="1"/>
        <v>96030</v>
      </c>
    </row>
    <row r="26" spans="1:11" x14ac:dyDescent="0.35">
      <c r="A26" s="6" t="s">
        <v>74</v>
      </c>
      <c r="B26" s="7" t="s">
        <v>75</v>
      </c>
      <c r="C26" s="8" t="s">
        <v>27</v>
      </c>
      <c r="D26" s="6" t="s">
        <v>28</v>
      </c>
      <c r="E26" s="8" t="s">
        <v>23</v>
      </c>
      <c r="F26" s="6" t="s">
        <v>24</v>
      </c>
      <c r="G26" s="6">
        <v>18</v>
      </c>
      <c r="H26" s="9">
        <v>12500</v>
      </c>
      <c r="I26" s="10">
        <f t="shared" si="0"/>
        <v>225000</v>
      </c>
      <c r="J26" s="11">
        <v>0.08</v>
      </c>
      <c r="K26" s="10">
        <f t="shared" si="1"/>
        <v>207000</v>
      </c>
    </row>
    <row r="27" spans="1:11" x14ac:dyDescent="0.35">
      <c r="A27" s="12" t="s">
        <v>76</v>
      </c>
      <c r="B27" s="13" t="s">
        <v>77</v>
      </c>
      <c r="C27" s="14" t="s">
        <v>36</v>
      </c>
      <c r="D27" s="12" t="s">
        <v>37</v>
      </c>
      <c r="E27" s="14" t="s">
        <v>38</v>
      </c>
      <c r="F27" s="12" t="s">
        <v>24</v>
      </c>
      <c r="G27" s="12">
        <v>10</v>
      </c>
      <c r="H27" s="15">
        <v>28000</v>
      </c>
      <c r="I27" s="16">
        <f t="shared" si="0"/>
        <v>280000</v>
      </c>
      <c r="J27" s="17">
        <v>0.08</v>
      </c>
      <c r="K27" s="16">
        <f t="shared" si="1"/>
        <v>257600</v>
      </c>
    </row>
    <row r="28" spans="1:11" x14ac:dyDescent="0.35">
      <c r="A28" s="6" t="s">
        <v>78</v>
      </c>
      <c r="B28" s="7" t="s">
        <v>79</v>
      </c>
      <c r="C28" s="8" t="s">
        <v>15</v>
      </c>
      <c r="D28" s="6" t="s">
        <v>16</v>
      </c>
      <c r="E28" s="8" t="s">
        <v>17</v>
      </c>
      <c r="F28" s="6" t="s">
        <v>18</v>
      </c>
      <c r="G28" s="6">
        <v>6</v>
      </c>
      <c r="H28" s="9">
        <v>95000</v>
      </c>
      <c r="I28" s="10">
        <f t="shared" si="0"/>
        <v>570000</v>
      </c>
      <c r="J28" s="11">
        <v>0.05</v>
      </c>
      <c r="K28" s="10">
        <f t="shared" si="1"/>
        <v>541500</v>
      </c>
    </row>
    <row r="29" spans="1:11" x14ac:dyDescent="0.35">
      <c r="A29" s="12" t="s">
        <v>80</v>
      </c>
      <c r="B29" s="13" t="s">
        <v>81</v>
      </c>
      <c r="C29" s="14" t="s">
        <v>21</v>
      </c>
      <c r="D29" s="12" t="s">
        <v>22</v>
      </c>
      <c r="E29" s="14" t="s">
        <v>43</v>
      </c>
      <c r="F29" s="12" t="s">
        <v>30</v>
      </c>
      <c r="G29" s="12">
        <v>28</v>
      </c>
      <c r="H29" s="15">
        <v>5500</v>
      </c>
      <c r="I29" s="16">
        <f t="shared" si="0"/>
        <v>154000</v>
      </c>
      <c r="J29" s="17">
        <v>0.03</v>
      </c>
      <c r="K29" s="16">
        <f t="shared" si="1"/>
        <v>149380</v>
      </c>
    </row>
    <row r="30" spans="1:11" ht="19.5" customHeight="1" x14ac:dyDescent="0.35">
      <c r="A30" s="18" t="s">
        <v>82</v>
      </c>
      <c r="B30" s="18"/>
      <c r="C30" s="18"/>
      <c r="D30" s="18"/>
      <c r="E30" s="18"/>
      <c r="F30" s="18"/>
      <c r="G30" s="18">
        <f>SUM(G4:G29)</f>
        <v>466</v>
      </c>
      <c r="H30" s="18"/>
      <c r="I30" s="19">
        <f>SUM(I4:I29)</f>
        <v>6795500</v>
      </c>
      <c r="J30" s="18"/>
      <c r="K30" s="19">
        <f>SUM(K4:K29)</f>
        <v>6426030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showGridLines="0" zoomScaleNormal="100" workbookViewId="0">
      <pane ySplit="2" topLeftCell="A9" activePane="bottomLeft" state="frozen"/>
      <selection pane="bottomLeft" sqref="A1:G1"/>
    </sheetView>
  </sheetViews>
  <sheetFormatPr defaultColWidth="8.6328125" defaultRowHeight="14.5" x14ac:dyDescent="0.35"/>
  <cols>
    <col min="1" max="1" width="16" customWidth="1"/>
    <col min="2" max="2" width="14" customWidth="1"/>
    <col min="3" max="4" width="22" customWidth="1"/>
    <col min="5" max="5" width="20" customWidth="1"/>
    <col min="6" max="6" width="2" customWidth="1"/>
    <col min="7" max="7" width="24" customWidth="1"/>
  </cols>
  <sheetData>
    <row r="1" spans="1:7" ht="31.5" customHeight="1" x14ac:dyDescent="0.35">
      <c r="A1" s="4" t="s">
        <v>83</v>
      </c>
      <c r="B1" s="4"/>
      <c r="C1" s="4"/>
      <c r="D1" s="4"/>
      <c r="E1" s="4"/>
      <c r="F1" s="4"/>
      <c r="G1" s="4"/>
    </row>
    <row r="2" spans="1:7" ht="15.75" customHeight="1" x14ac:dyDescent="0.35">
      <c r="A2" s="3" t="s">
        <v>84</v>
      </c>
      <c r="B2" s="3"/>
      <c r="C2" s="3"/>
      <c r="D2" s="3"/>
      <c r="E2" s="3"/>
      <c r="F2" s="3"/>
      <c r="G2" s="3"/>
    </row>
    <row r="4" spans="1:7" ht="21.75" customHeight="1" x14ac:dyDescent="0.35">
      <c r="A4" s="5" t="s">
        <v>85</v>
      </c>
      <c r="C4" s="5" t="s">
        <v>86</v>
      </c>
      <c r="E4" s="5" t="s">
        <v>87</v>
      </c>
      <c r="G4" s="5" t="s">
        <v>88</v>
      </c>
    </row>
    <row r="5" spans="1:7" ht="30" customHeight="1" x14ac:dyDescent="0.35">
      <c r="A5" s="20">
        <f>COUNTA('Sales Data'!A4:A29)</f>
        <v>26</v>
      </c>
      <c r="C5" s="21">
        <f>SUM('Sales Data'!G4:G29)</f>
        <v>466</v>
      </c>
      <c r="E5" s="21">
        <f>SUM('Sales Data'!I4:I29)</f>
        <v>6795500</v>
      </c>
      <c r="G5" s="21">
        <f>SUM('Sales Data'!K4:K29)</f>
        <v>6426030</v>
      </c>
    </row>
    <row r="7" spans="1:7" ht="19.5" customHeight="1" x14ac:dyDescent="0.35">
      <c r="A7" s="5" t="s">
        <v>5</v>
      </c>
      <c r="B7" s="5" t="s">
        <v>85</v>
      </c>
      <c r="C7" s="5" t="s">
        <v>10</v>
      </c>
      <c r="D7" s="5" t="s">
        <v>12</v>
      </c>
      <c r="E7" s="5" t="s">
        <v>89</v>
      </c>
    </row>
    <row r="8" spans="1:7" ht="19.5" customHeight="1" x14ac:dyDescent="0.35">
      <c r="A8" s="6" t="s">
        <v>16</v>
      </c>
      <c r="B8" s="22">
        <f>COUNTIF('Sales Data'!D4:D29,"Nairobi")</f>
        <v>7</v>
      </c>
      <c r="C8" s="23">
        <f>SUMIF('Sales Data'!D4:D29,"Nairobi",'Sales Data'!I4:I29)</f>
        <v>2973000</v>
      </c>
      <c r="D8" s="23">
        <f>SUMIF('Sales Data'!D4:D29,"Nairobi",'Sales Data'!K4:K29)</f>
        <v>2810970</v>
      </c>
      <c r="E8" s="23">
        <f>IF(B8=0,0,D8/B8)</f>
        <v>401567.14285714284</v>
      </c>
    </row>
    <row r="9" spans="1:7" x14ac:dyDescent="0.35">
      <c r="A9" s="12" t="s">
        <v>22</v>
      </c>
      <c r="B9" s="24">
        <f>COUNTIF('Sales Data'!D4:D29,"Mombasa")</f>
        <v>7</v>
      </c>
      <c r="C9" s="25">
        <f>SUMIF('Sales Data'!D4:D29,"Mombasa",'Sales Data'!I4:I29)</f>
        <v>1405500</v>
      </c>
      <c r="D9" s="25">
        <f>SUMIF('Sales Data'!D4:D29,"Mombasa",'Sales Data'!K4:K29)</f>
        <v>1332260</v>
      </c>
      <c r="E9" s="25">
        <f>IF(B9=0,0,D9/B9)</f>
        <v>190322.85714285713</v>
      </c>
    </row>
    <row r="10" spans="1:7" x14ac:dyDescent="0.35">
      <c r="A10" s="6" t="s">
        <v>28</v>
      </c>
      <c r="B10" s="22">
        <f>COUNTIF('Sales Data'!D4:D29,"Kisumu")</f>
        <v>6</v>
      </c>
      <c r="C10" s="23">
        <f>SUMIF('Sales Data'!D4:D29,"Kisumu",'Sales Data'!I4:I29)</f>
        <v>1078000</v>
      </c>
      <c r="D10" s="23">
        <f>SUMIF('Sales Data'!D4:D29,"Kisumu",'Sales Data'!K4:K29)</f>
        <v>1021210</v>
      </c>
      <c r="E10" s="23">
        <f>IF(B10=0,0,D10/B10)</f>
        <v>170201.66666666666</v>
      </c>
    </row>
    <row r="11" spans="1:7" x14ac:dyDescent="0.35">
      <c r="A11" s="12" t="s">
        <v>37</v>
      </c>
      <c r="B11" s="24">
        <f>COUNTIF('Sales Data'!D4:D29,"Nakuru")</f>
        <v>6</v>
      </c>
      <c r="C11" s="25">
        <f>SUMIF('Sales Data'!D4:D29,"Nakuru",'Sales Data'!I4:I29)</f>
        <v>1339000</v>
      </c>
      <c r="D11" s="25">
        <f>SUMIF('Sales Data'!D4:D29,"Nakuru",'Sales Data'!K4:K29)</f>
        <v>1261590</v>
      </c>
      <c r="E11" s="25">
        <f>IF(B11=0,0,D11/B11)</f>
        <v>210265</v>
      </c>
    </row>
    <row r="12" spans="1:7" x14ac:dyDescent="0.35">
      <c r="A12" s="18" t="s">
        <v>90</v>
      </c>
      <c r="B12" s="18">
        <f>SUM(B8:B11)</f>
        <v>26</v>
      </c>
      <c r="C12" s="19">
        <f>SUM(C8:C11)</f>
        <v>6795500</v>
      </c>
      <c r="D12" s="19">
        <f>SUM(D8:D11)</f>
        <v>6426030</v>
      </c>
      <c r="E12" s="19">
        <f>SUM(E8:E11)</f>
        <v>972356.66666666663</v>
      </c>
    </row>
    <row r="14" spans="1:7" x14ac:dyDescent="0.35">
      <c r="A14" s="5" t="s">
        <v>7</v>
      </c>
      <c r="B14" s="5" t="s">
        <v>85</v>
      </c>
      <c r="C14" s="5" t="s">
        <v>10</v>
      </c>
      <c r="D14" s="5" t="s">
        <v>12</v>
      </c>
      <c r="E14" s="5" t="s">
        <v>91</v>
      </c>
    </row>
    <row r="15" spans="1:7" x14ac:dyDescent="0.35">
      <c r="A15" s="6" t="s">
        <v>18</v>
      </c>
      <c r="B15" s="22">
        <f>COUNTIF('Sales Data'!F4:F29,"Electronics")</f>
        <v>10</v>
      </c>
      <c r="C15" s="23">
        <f>SUMIF('Sales Data'!F4:F29,"Electronics",'Sales Data'!I4:I29)</f>
        <v>4009000</v>
      </c>
      <c r="D15" s="23">
        <f>SUMIF('Sales Data'!F4:F29,"Electronics",'Sales Data'!K4:K29)</f>
        <v>3808550</v>
      </c>
      <c r="E15" s="6" t="s">
        <v>92</v>
      </c>
    </row>
    <row r="16" spans="1:7" x14ac:dyDescent="0.35">
      <c r="A16" s="12" t="s">
        <v>24</v>
      </c>
      <c r="B16" s="24">
        <f>COUNTIF('Sales Data'!F4:F29,"Furniture")</f>
        <v>8</v>
      </c>
      <c r="C16" s="25">
        <f>SUMIF('Sales Data'!F4:F29,"Furniture",'Sales Data'!I4:I29)</f>
        <v>1708500</v>
      </c>
      <c r="D16" s="25">
        <f>SUMIF('Sales Data'!F4:F29,"Furniture",'Sales Data'!K4:K29)</f>
        <v>1571820</v>
      </c>
      <c r="E16" s="12" t="s">
        <v>93</v>
      </c>
    </row>
    <row r="17" spans="1:5" x14ac:dyDescent="0.35">
      <c r="A17" s="6" t="s">
        <v>30</v>
      </c>
      <c r="B17" s="22">
        <f>COUNTIF('Sales Data'!F4:F29,"Accessories")</f>
        <v>8</v>
      </c>
      <c r="C17" s="23">
        <f>SUMIF('Sales Data'!F4:F29,"Accessories",'Sales Data'!I4:I29)</f>
        <v>1078000</v>
      </c>
      <c r="D17" s="23">
        <f>SUMIF('Sales Data'!F4:F29,"Accessories",'Sales Data'!K4:K29)</f>
        <v>1045660</v>
      </c>
      <c r="E17" s="6" t="s">
        <v>94</v>
      </c>
    </row>
    <row r="18" spans="1:5" x14ac:dyDescent="0.35">
      <c r="A18" s="18" t="s">
        <v>90</v>
      </c>
      <c r="B18" s="18">
        <f>SUM(B15:B17)</f>
        <v>26</v>
      </c>
      <c r="C18" s="19">
        <f>SUM(C15:C17)</f>
        <v>6795500</v>
      </c>
      <c r="D18" s="19">
        <f>SUM(D15:D17)</f>
        <v>6426030</v>
      </c>
      <c r="E18" s="18"/>
    </row>
    <row r="20" spans="1:5" x14ac:dyDescent="0.35">
      <c r="A20" s="5" t="s">
        <v>4</v>
      </c>
      <c r="B20" s="5" t="s">
        <v>85</v>
      </c>
      <c r="C20" s="5" t="s">
        <v>10</v>
      </c>
      <c r="D20" s="5" t="s">
        <v>12</v>
      </c>
    </row>
    <row r="21" spans="1:5" x14ac:dyDescent="0.35">
      <c r="A21" s="6" t="s">
        <v>15</v>
      </c>
      <c r="B21" s="22">
        <f>COUNTIF('Sales Data'!C4:C29,"Alice Kamau")</f>
        <v>7</v>
      </c>
      <c r="C21" s="23">
        <f>SUMIF('Sales Data'!C4:C29,"Alice Kamau",'Sales Data'!I4:I29)</f>
        <v>2973000</v>
      </c>
      <c r="D21" s="23">
        <f>SUMIF('Sales Data'!C4:C29,"Alice Kamau",'Sales Data'!K4:K29)</f>
        <v>2810970</v>
      </c>
    </row>
    <row r="22" spans="1:5" x14ac:dyDescent="0.35">
      <c r="A22" s="12" t="s">
        <v>21</v>
      </c>
      <c r="B22" s="24">
        <f>COUNTIF('Sales Data'!C4:C29,"Brian Otieno")</f>
        <v>7</v>
      </c>
      <c r="C22" s="25">
        <f>SUMIF('Sales Data'!C4:C29,"Brian Otieno",'Sales Data'!I4:I29)</f>
        <v>1405500</v>
      </c>
      <c r="D22" s="25">
        <f>SUMIF('Sales Data'!C4:C29,"Brian Otieno",'Sales Data'!K4:K29)</f>
        <v>1332260</v>
      </c>
    </row>
    <row r="23" spans="1:5" x14ac:dyDescent="0.35">
      <c r="A23" s="6" t="s">
        <v>27</v>
      </c>
      <c r="B23" s="22">
        <f>COUNTIF('Sales Data'!C4:C29,"Carol Wanjiku")</f>
        <v>6</v>
      </c>
      <c r="C23" s="23">
        <f>SUMIF('Sales Data'!C4:C29,"Carol Wanjiku",'Sales Data'!I4:I29)</f>
        <v>1078000</v>
      </c>
      <c r="D23" s="23">
        <f>SUMIF('Sales Data'!C4:C29,"Carol Wanjiku",'Sales Data'!K4:K29)</f>
        <v>1021210</v>
      </c>
    </row>
    <row r="24" spans="1:5" x14ac:dyDescent="0.35">
      <c r="A24" s="12" t="s">
        <v>36</v>
      </c>
      <c r="B24" s="24">
        <f>COUNTIF('Sales Data'!C4:C29,"David Mwangi")</f>
        <v>6</v>
      </c>
      <c r="C24" s="25">
        <f>SUMIF('Sales Data'!C4:C29,"David Mwangi",'Sales Data'!I4:I29)</f>
        <v>1339000</v>
      </c>
      <c r="D24" s="25">
        <f>SUMIF('Sales Data'!C4:C29,"David Mwangi",'Sales Data'!K4:K29)</f>
        <v>1261590</v>
      </c>
    </row>
    <row r="25" spans="1:5" x14ac:dyDescent="0.35">
      <c r="A25" s="18" t="s">
        <v>90</v>
      </c>
      <c r="B25" s="18">
        <f>SUM(B21:B24)</f>
        <v>26</v>
      </c>
      <c r="C25" s="19">
        <f>SUM(C21:C24)</f>
        <v>6795500</v>
      </c>
      <c r="D25" s="19">
        <f>SUM(D21:D24)</f>
        <v>6426030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30" customWidth="1"/>
    <col min="2" max="2" width="42" customWidth="1"/>
    <col min="3" max="3" width="12" customWidth="1"/>
    <col min="4" max="4" width="48" customWidth="1"/>
    <col min="5" max="5" width="8" customWidth="1"/>
  </cols>
  <sheetData>
    <row r="1" spans="1:6" ht="30" customHeight="1" x14ac:dyDescent="0.35">
      <c r="A1" s="2" t="s">
        <v>95</v>
      </c>
      <c r="B1" s="2"/>
      <c r="C1" s="2"/>
      <c r="D1" s="2"/>
      <c r="E1" s="2"/>
      <c r="F1" s="2"/>
    </row>
    <row r="2" spans="1:6" ht="19.5" customHeight="1" x14ac:dyDescent="0.35">
      <c r="A2" s="26" t="s">
        <v>96</v>
      </c>
      <c r="B2" s="26" t="s">
        <v>97</v>
      </c>
      <c r="C2" s="5" t="s">
        <v>98</v>
      </c>
      <c r="D2" s="26" t="s">
        <v>99</v>
      </c>
      <c r="E2" s="5" t="s">
        <v>100</v>
      </c>
    </row>
    <row r="3" spans="1:6" ht="19.5" customHeight="1" x14ac:dyDescent="0.35">
      <c r="A3" s="14" t="s">
        <v>101</v>
      </c>
      <c r="B3" s="14" t="s">
        <v>102</v>
      </c>
      <c r="C3" s="27" t="s">
        <v>103</v>
      </c>
      <c r="D3" s="14" t="s">
        <v>104</v>
      </c>
      <c r="E3" s="28" t="s">
        <v>105</v>
      </c>
    </row>
    <row r="4" spans="1:6" ht="19.5" customHeight="1" x14ac:dyDescent="0.35">
      <c r="A4" s="8" t="s">
        <v>106</v>
      </c>
      <c r="B4" s="8" t="s">
        <v>107</v>
      </c>
      <c r="C4" s="29" t="s">
        <v>103</v>
      </c>
      <c r="D4" s="8" t="s">
        <v>108</v>
      </c>
      <c r="E4" s="30" t="s">
        <v>105</v>
      </c>
    </row>
    <row r="5" spans="1:6" ht="19.5" customHeight="1" x14ac:dyDescent="0.35">
      <c r="A5" s="14" t="s">
        <v>109</v>
      </c>
      <c r="B5" s="14" t="s">
        <v>110</v>
      </c>
      <c r="C5" s="27" t="s">
        <v>103</v>
      </c>
      <c r="D5" s="14" t="s">
        <v>111</v>
      </c>
      <c r="E5" s="28" t="s">
        <v>105</v>
      </c>
    </row>
    <row r="6" spans="1:6" ht="19.5" customHeight="1" x14ac:dyDescent="0.35">
      <c r="A6" s="8" t="s">
        <v>112</v>
      </c>
      <c r="B6" s="8" t="s">
        <v>113</v>
      </c>
      <c r="C6" s="29" t="s">
        <v>103</v>
      </c>
      <c r="D6" s="8" t="s">
        <v>114</v>
      </c>
      <c r="E6" s="30" t="s">
        <v>105</v>
      </c>
    </row>
    <row r="7" spans="1:6" ht="19.5" customHeight="1" x14ac:dyDescent="0.35">
      <c r="A7" s="14" t="s">
        <v>115</v>
      </c>
      <c r="B7" s="14" t="s">
        <v>116</v>
      </c>
      <c r="C7" s="27" t="s">
        <v>103</v>
      </c>
      <c r="D7" s="14" t="s">
        <v>117</v>
      </c>
      <c r="E7" s="28" t="s">
        <v>105</v>
      </c>
    </row>
    <row r="8" spans="1:6" ht="19.5" customHeight="1" x14ac:dyDescent="0.35">
      <c r="A8" s="8" t="s">
        <v>118</v>
      </c>
      <c r="B8" s="8" t="s">
        <v>119</v>
      </c>
      <c r="C8" s="29" t="s">
        <v>103</v>
      </c>
      <c r="D8" s="8" t="s">
        <v>117</v>
      </c>
      <c r="E8" s="30" t="s">
        <v>105</v>
      </c>
    </row>
    <row r="9" spans="1:6" ht="19.5" customHeight="1" x14ac:dyDescent="0.35">
      <c r="A9" s="14" t="s">
        <v>120</v>
      </c>
      <c r="B9" s="14" t="s">
        <v>121</v>
      </c>
      <c r="C9" s="27" t="s">
        <v>103</v>
      </c>
      <c r="D9" s="14" t="s">
        <v>122</v>
      </c>
      <c r="E9" s="28" t="s">
        <v>105</v>
      </c>
    </row>
    <row r="10" spans="1:6" ht="19.5" customHeight="1" x14ac:dyDescent="0.35">
      <c r="A10" s="8" t="s">
        <v>123</v>
      </c>
      <c r="B10" s="8" t="s">
        <v>124</v>
      </c>
      <c r="C10" s="29" t="s">
        <v>103</v>
      </c>
      <c r="D10" s="8" t="s">
        <v>125</v>
      </c>
      <c r="E10" s="30" t="s">
        <v>105</v>
      </c>
    </row>
    <row r="11" spans="1:6" ht="19.5" customHeight="1" x14ac:dyDescent="0.35">
      <c r="A11" s="14" t="s">
        <v>126</v>
      </c>
      <c r="B11" s="14" t="s">
        <v>127</v>
      </c>
      <c r="C11" s="27" t="s">
        <v>103</v>
      </c>
      <c r="D11" s="14" t="s">
        <v>128</v>
      </c>
      <c r="E11" s="28" t="s">
        <v>105</v>
      </c>
    </row>
    <row r="12" spans="1:6" ht="19.5" customHeight="1" x14ac:dyDescent="0.35">
      <c r="A12" s="8" t="s">
        <v>129</v>
      </c>
      <c r="B12" s="8" t="s">
        <v>130</v>
      </c>
      <c r="C12" s="29" t="s">
        <v>103</v>
      </c>
      <c r="D12" s="8" t="s">
        <v>131</v>
      </c>
      <c r="E12" s="30" t="s">
        <v>105</v>
      </c>
    </row>
    <row r="15" spans="1:6" ht="21.75" customHeight="1" x14ac:dyDescent="0.35">
      <c r="A15" s="1" t="s">
        <v>132</v>
      </c>
      <c r="B15" s="1"/>
      <c r="C15" s="1"/>
      <c r="D15" s="1"/>
      <c r="E15" s="1"/>
      <c r="F15" s="1"/>
    </row>
  </sheetData>
  <mergeCells count="2">
    <mergeCell ref="A1:F1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Summary Dashboard</vt:lpstr>
      <vt:lpstr>Verification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Viena Ouma</cp:lastModifiedBy>
  <cp:revision>0</cp:revision>
  <dcterms:created xsi:type="dcterms:W3CDTF">2026-03-20T09:46:46Z</dcterms:created>
  <dcterms:modified xsi:type="dcterms:W3CDTF">2026-03-20T19:37:06Z</dcterms:modified>
  <dc:language>en-US</dc:language>
</cp:coreProperties>
</file>